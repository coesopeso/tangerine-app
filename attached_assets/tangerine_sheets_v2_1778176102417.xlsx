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GENNAIO" sheetId="2" state="visible" r:id="rId2"/>
    <sheet xmlns:r="http://schemas.openxmlformats.org/officeDocument/2006/relationships" name="FEBBRAIO" sheetId="3" state="visible" r:id="rId3"/>
    <sheet xmlns:r="http://schemas.openxmlformats.org/officeDocument/2006/relationships" name="MARZO" sheetId="4" state="visible" r:id="rId4"/>
    <sheet xmlns:r="http://schemas.openxmlformats.org/officeDocument/2006/relationships" name="APRILE" sheetId="5" state="visible" r:id="rId5"/>
    <sheet xmlns:r="http://schemas.openxmlformats.org/officeDocument/2006/relationships" name="MAGGIO" sheetId="6" state="visible" r:id="rId6"/>
    <sheet xmlns:r="http://schemas.openxmlformats.org/officeDocument/2006/relationships" name="GIUGNO" sheetId="7" state="visible" r:id="rId7"/>
    <sheet xmlns:r="http://schemas.openxmlformats.org/officeDocument/2006/relationships" name="LUGLIO" sheetId="8" state="visible" r:id="rId8"/>
    <sheet xmlns:r="http://schemas.openxmlformats.org/officeDocument/2006/relationships" name="AGOSTO" sheetId="9" state="visible" r:id="rId9"/>
    <sheet xmlns:r="http://schemas.openxmlformats.org/officeDocument/2006/relationships" name="SETTEMBRE" sheetId="10" state="visible" r:id="rId10"/>
    <sheet xmlns:r="http://schemas.openxmlformats.org/officeDocument/2006/relationships" name="OTTOBRE" sheetId="11" state="visible" r:id="rId11"/>
    <sheet xmlns:r="http://schemas.openxmlformats.org/officeDocument/2006/relationships" name="NOVEMBRE" sheetId="12" state="visible" r:id="rId12"/>
    <sheet xmlns:r="http://schemas.openxmlformats.org/officeDocument/2006/relationships" name="DICEMBRE" sheetId="13" state="visible" r:id="rId13"/>
    <sheet xmlns:r="http://schemas.openxmlformats.org/officeDocument/2006/relationships" name="CLIENTI" sheetId="14" state="visible" r:id="rId14"/>
    <sheet xmlns:r="http://schemas.openxmlformats.org/officeDocument/2006/relationships" name="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DD/MM/YYYY"/>
    <numFmt numFmtId="166" formatCode="0.0%"/>
    <numFmt numFmtId="167" formatCode="&quot;Aggiornato al &quot;DD/MM/YYYY"/>
  </numFmts>
  <fonts count="29">
    <font>
      <name val="Calibri"/>
      <family val="2"/>
      <color theme="1"/>
      <sz val="11"/>
      <scheme val="minor"/>
    </font>
    <font>
      <name val="Arial"/>
      <b val="1"/>
      <color rgb="00111111"/>
      <sz val="14"/>
    </font>
    <font>
      <name val="Arial"/>
      <b val="1"/>
      <color rgb="00888580"/>
      <sz val="11"/>
    </font>
    <font>
      <name val="Arial"/>
      <color rgb="00111111"/>
      <sz val="9"/>
    </font>
    <font>
      <name val="Arial"/>
      <b val="1"/>
      <color rgb="00888580"/>
      <sz val="10"/>
    </font>
    <font>
      <name val="Arial"/>
      <b val="1"/>
      <color rgb="00FF5C00"/>
      <sz val="16"/>
    </font>
    <font>
      <name val="Arial"/>
      <b val="1"/>
      <color rgb="00FF5C00"/>
      <sz val="11"/>
    </font>
    <font>
      <name val="Arial"/>
      <b val="1"/>
      <color rgb="00FF5C00"/>
      <sz val="9"/>
    </font>
    <font>
      <name val="Arial"/>
      <b val="1"/>
      <color rgb="00555250"/>
      <sz val="9"/>
    </font>
    <font>
      <name val="Arial"/>
      <b val="1"/>
      <color rgb="00C0392B"/>
      <sz val="11"/>
    </font>
    <font>
      <name val="Arial"/>
      <b val="1"/>
      <color rgb="0095A5A6"/>
      <sz val="11"/>
    </font>
    <font>
      <name val="Arial"/>
      <b val="1"/>
      <color rgb="0027AE60"/>
      <sz val="11"/>
    </font>
    <font>
      <name val="Arial"/>
      <color rgb="00555250"/>
      <sz val="9"/>
    </font>
    <font>
      <name val="Arial"/>
      <b val="1"/>
      <color rgb="00E67E22"/>
      <sz val="10"/>
    </font>
    <font>
      <name val="Arial"/>
      <b val="1"/>
      <color rgb="0095A5A6"/>
      <sz val="10"/>
    </font>
    <font>
      <name val="Arial"/>
      <b val="1"/>
      <color rgb="002980B9"/>
      <sz val="10"/>
    </font>
    <font>
      <name val="Arial"/>
      <b val="1"/>
      <color rgb="00C0392B"/>
      <sz val="10"/>
    </font>
    <font>
      <name val="Arial"/>
      <b val="1"/>
      <color rgb="008E44AD"/>
      <sz val="10"/>
    </font>
    <font>
      <name val="Arial"/>
      <b val="1"/>
      <color rgb="0016A085"/>
      <sz val="10"/>
    </font>
    <font>
      <name val="Arial"/>
      <b val="1"/>
      <color rgb="00111111"/>
      <sz val="11"/>
    </font>
    <font>
      <name val="Arial"/>
      <i val="1"/>
      <color rgb="00CCCAC4"/>
      <sz val="9"/>
    </font>
    <font>
      <name val="Arial"/>
      <b val="1"/>
      <color rgb="00E67E22"/>
      <sz val="11"/>
    </font>
    <font>
      <name val="Arial"/>
      <b val="1"/>
      <color rgb="002980B9"/>
      <sz val="11"/>
    </font>
    <font>
      <name val="Arial"/>
      <i val="1"/>
      <color rgb="00888580"/>
      <sz val="9"/>
    </font>
    <font>
      <name val="Arial"/>
      <b val="1"/>
      <color rgb="00111111"/>
      <sz val="9"/>
    </font>
    <font>
      <name val="Arial"/>
      <b val="1"/>
      <color rgb="00FF5C00"/>
      <sz val="10"/>
    </font>
    <font>
      <name val="Arial"/>
      <b val="1"/>
      <color rgb="008E44AD"/>
      <sz val="12"/>
    </font>
    <font>
      <name val="Arial"/>
      <i val="1"/>
      <color rgb="00888580"/>
      <sz val="8"/>
    </font>
    <font>
      <name val="Arial"/>
      <b val="1"/>
      <color rgb="00111111"/>
      <sz val="10"/>
    </font>
  </fonts>
  <fills count="13">
    <fill>
      <patternFill/>
    </fill>
    <fill>
      <patternFill patternType="gray125"/>
    </fill>
    <fill>
      <patternFill patternType="solid">
        <fgColor rgb="00EEEDE9"/>
      </patternFill>
    </fill>
    <fill>
      <patternFill patternType="solid">
        <fgColor rgb="00F7F7F5"/>
      </patternFill>
    </fill>
    <fill>
      <patternFill patternType="solid">
        <fgColor rgb="00FFFFFF"/>
      </patternFill>
    </fill>
    <fill>
      <patternFill patternType="solid">
        <fgColor rgb="00EAF7EF"/>
      </patternFill>
    </fill>
    <fill>
      <patternFill patternType="solid">
        <fgColor rgb="00FFF0E8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EAF4FB"/>
      </patternFill>
    </fill>
    <fill>
      <patternFill patternType="solid">
        <fgColor rgb="00FDECEA"/>
      </patternFill>
    </fill>
    <fill>
      <patternFill patternType="solid">
        <fgColor rgb="00F5EEF8"/>
      </patternFill>
    </fill>
    <fill>
      <patternFill patternType="solid">
        <fgColor rgb="00E8F8F5"/>
      </patternFill>
    </fill>
  </fills>
  <borders count="17">
    <border>
      <left/>
      <right/>
      <top/>
      <bottom/>
      <diagonal/>
    </border>
    <border>
      <bottom style="medium">
        <color rgb="00888580"/>
      </bottom>
    </border>
    <border>
      <left/>
      <right/>
      <top/>
      <bottom style="medium">
        <color rgb="00888580"/>
      </bottom>
      <diagonal/>
    </border>
    <border>
      <bottom style="thin">
        <color rgb="00CCCAC4"/>
      </bottom>
    </border>
    <border>
      <bottom style="medium">
        <color rgb="00FF5C00"/>
      </bottom>
    </border>
    <border>
      <bottom style="thin">
        <color rgb="00FF5C00"/>
      </bottom>
    </border>
    <border>
      <bottom style="thin">
        <color rgb="00EEEDE9"/>
      </bottom>
    </border>
    <border>
      <top style="thin">
        <color rgb="00FF5C00"/>
      </top>
    </border>
    <border>
      <top style="thin">
        <color rgb="00C0392B"/>
      </top>
    </border>
    <border>
      <top style="thin">
        <color rgb="0095A5A6"/>
      </top>
    </border>
    <border>
      <left style="thin">
        <color rgb="00FFD4BA"/>
      </left>
      <bottom style="thin">
        <color rgb="00EEEDE9"/>
      </bottom>
    </border>
    <border>
      <bottom style="thin">
        <color rgb="00FFD4BA"/>
      </bottom>
    </border>
    <border>
      <top style="thin">
        <color rgb="00FF5C00"/>
      </top>
      <bottom style="thin">
        <color rgb="00EEEDE9"/>
      </bottom>
    </border>
    <border>
      <left style="thin">
        <color rgb="00FFD4BA"/>
      </left>
      <top style="thin">
        <color rgb="00FF5C00"/>
      </top>
      <bottom style="thin">
        <color rgb="00EEEDE9"/>
      </bottom>
    </border>
    <border>
      <top style="medium">
        <color rgb="00FF5C00"/>
      </top>
      <bottom style="thin">
        <color rgb="00EEEDE9"/>
      </bottom>
    </border>
    <border>
      <left style="thin">
        <color rgb="00FFD4BA"/>
      </left>
      <top style="medium">
        <color rgb="00FF5C00"/>
      </top>
      <bottom style="thin">
        <color rgb="00EEEDE9"/>
      </bottom>
    </border>
    <border>
      <top style="thin">
        <color rgb="008E44AD"/>
      </top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1" pivotButton="0" quotePrefix="0" xfId="0"/>
    <xf numFmtId="0" fontId="0" fillId="0" borderId="2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3" applyAlignment="1" pivotButton="0" quotePrefix="0" xfId="0">
      <alignment horizontal="left" vertical="center"/>
    </xf>
    <xf numFmtId="9" fontId="4" fillId="2" borderId="3" applyAlignment="1" pivotButton="0" quotePrefix="0" xfId="0">
      <alignment horizontal="center" vertical="center"/>
    </xf>
    <xf numFmtId="0" fontId="3" fillId="3" borderId="3" pivotButton="0" quotePrefix="0" xfId="0"/>
    <xf numFmtId="0" fontId="3" fillId="0" borderId="3" applyAlignment="1" pivotButton="0" quotePrefix="0" xfId="0">
      <alignment horizontal="left" vertical="center"/>
    </xf>
    <xf numFmtId="0" fontId="3" fillId="0" borderId="3" pivotButton="0" quotePrefix="0" xfId="0"/>
    <xf numFmtId="164" fontId="4" fillId="2" borderId="3" applyAlignment="1" pivotButton="0" quotePrefix="0" xfId="0">
      <alignment horizontal="center" vertical="center"/>
    </xf>
    <xf numFmtId="0" fontId="5" fillId="0" borderId="4" pivotButton="0" quotePrefix="0" xfId="0"/>
    <xf numFmtId="0" fontId="6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4" borderId="6" pivotButton="0" quotePrefix="0" xfId="0"/>
    <xf numFmtId="164" fontId="0" fillId="4" borderId="6" pivotButton="0" quotePrefix="0" xfId="0"/>
    <xf numFmtId="0" fontId="8" fillId="5" borderId="12" pivotButton="0" quotePrefix="0" xfId="0"/>
    <xf numFmtId="164" fontId="11" fillId="5" borderId="13" applyAlignment="1" pivotButton="0" quotePrefix="0" xfId="0">
      <alignment horizontal="right" vertical="center"/>
    </xf>
    <xf numFmtId="0" fontId="0" fillId="6" borderId="11" pivotButton="0" quotePrefix="0" xfId="0"/>
    <xf numFmtId="0" fontId="0" fillId="3" borderId="6" pivotButton="0" quotePrefix="0" xfId="0"/>
    <xf numFmtId="164" fontId="0" fillId="3" borderId="6" pivotButton="0" quotePrefix="0" xfId="0"/>
    <xf numFmtId="0" fontId="12" fillId="7" borderId="6" pivotButton="0" quotePrefix="0" xfId="0"/>
    <xf numFmtId="164" fontId="13" fillId="7" borderId="10" applyAlignment="1" pivotButton="0" quotePrefix="0" xfId="0">
      <alignment horizontal="right" vertical="center"/>
    </xf>
    <xf numFmtId="0" fontId="12" fillId="8" borderId="6" pivotButton="0" quotePrefix="0" xfId="0"/>
    <xf numFmtId="164" fontId="14" fillId="8" borderId="10" applyAlignment="1" pivotButton="0" quotePrefix="0" xfId="0">
      <alignment horizontal="right" vertical="center"/>
    </xf>
    <xf numFmtId="0" fontId="12" fillId="9" borderId="6" pivotButton="0" quotePrefix="0" xfId="0"/>
    <xf numFmtId="164" fontId="15" fillId="9" borderId="10" applyAlignment="1" pivotButton="0" quotePrefix="0" xfId="0">
      <alignment horizontal="right" vertical="center"/>
    </xf>
    <xf numFmtId="0" fontId="12" fillId="10" borderId="6" pivotButton="0" quotePrefix="0" xfId="0"/>
    <xf numFmtId="164" fontId="16" fillId="10" borderId="10" applyAlignment="1" pivotButton="0" quotePrefix="0" xfId="0">
      <alignment horizontal="right" vertical="center"/>
    </xf>
    <xf numFmtId="0" fontId="8" fillId="10" borderId="12" pivotButton="0" quotePrefix="0" xfId="0"/>
    <xf numFmtId="164" fontId="9" fillId="10" borderId="13" applyAlignment="1" pivotButton="0" quotePrefix="0" xfId="0">
      <alignment horizontal="right" vertical="center"/>
    </xf>
    <xf numFmtId="0" fontId="8" fillId="6" borderId="12" pivotButton="0" quotePrefix="0" xfId="0"/>
    <xf numFmtId="164" fontId="6" fillId="6" borderId="13" applyAlignment="1" pivotButton="0" quotePrefix="0" xfId="0">
      <alignment horizontal="right" vertical="center"/>
    </xf>
    <xf numFmtId="0" fontId="12" fillId="11" borderId="6" pivotButton="0" quotePrefix="0" xfId="0"/>
    <xf numFmtId="164" fontId="17" fillId="11" borderId="10" applyAlignment="1" pivotButton="0" quotePrefix="0" xfId="0">
      <alignment horizontal="right" vertical="center"/>
    </xf>
    <xf numFmtId="0" fontId="12" fillId="12" borderId="6" pivotButton="0" quotePrefix="0" xfId="0"/>
    <xf numFmtId="164" fontId="18" fillId="12" borderId="10" applyAlignment="1" pivotButton="0" quotePrefix="0" xfId="0">
      <alignment horizontal="right" vertical="center"/>
    </xf>
    <xf numFmtId="0" fontId="12" fillId="3" borderId="6" pivotButton="0" quotePrefix="0" xfId="0"/>
    <xf numFmtId="164" fontId="4" fillId="3" borderId="10" applyAlignment="1" pivotButton="0" quotePrefix="0" xfId="0">
      <alignment horizontal="right" vertical="center"/>
    </xf>
    <xf numFmtId="166" fontId="4" fillId="3" borderId="10" applyAlignment="1" pivotButton="0" quotePrefix="0" xfId="0">
      <alignment horizontal="right" vertical="center"/>
    </xf>
    <xf numFmtId="0" fontId="8" fillId="3" borderId="6" pivotButton="0" quotePrefix="0" xfId="0"/>
    <xf numFmtId="49" fontId="19" fillId="3" borderId="10" applyAlignment="1" pivotButton="0" quotePrefix="0" xfId="0">
      <alignment horizontal="right" vertical="center"/>
    </xf>
    <xf numFmtId="0" fontId="0" fillId="4" borderId="11" pivotButton="0" quotePrefix="0" xfId="0"/>
    <xf numFmtId="164" fontId="0" fillId="4" borderId="11" applyAlignment="1" pivotButton="0" quotePrefix="0" xfId="0">
      <alignment horizontal="right" vertical="center"/>
    </xf>
    <xf numFmtId="164" fontId="0" fillId="6" borderId="11" applyAlignment="1" pivotButton="0" quotePrefix="0" xfId="0">
      <alignment horizontal="right" vertical="center"/>
    </xf>
    <xf numFmtId="0" fontId="8" fillId="0" borderId="7" pivotButton="0" quotePrefix="0" xfId="0"/>
    <xf numFmtId="164" fontId="6" fillId="0" borderId="7" applyAlignment="1" pivotButton="0" quotePrefix="0" xfId="0">
      <alignment horizontal="right" vertical="center"/>
    </xf>
    <xf numFmtId="165" fontId="0" fillId="4" borderId="6" pivotButton="0" quotePrefix="0" xfId="0"/>
    <xf numFmtId="165" fontId="0" fillId="3" borderId="6" pivotButton="0" quotePrefix="0" xfId="0"/>
    <xf numFmtId="0" fontId="8" fillId="0" borderId="8" pivotButton="0" quotePrefix="0" xfId="0"/>
    <xf numFmtId="164" fontId="9" fillId="0" borderId="8" applyAlignment="1" pivotButton="0" quotePrefix="0" xfId="0">
      <alignment horizontal="right" vertical="center"/>
    </xf>
    <xf numFmtId="0" fontId="8" fillId="0" borderId="9" pivotButton="0" quotePrefix="0" xfId="0"/>
    <xf numFmtId="164" fontId="10" fillId="0" borderId="9" applyAlignment="1" pivotButton="0" quotePrefix="0" xfId="0">
      <alignment horizontal="right" vertical="center"/>
    </xf>
    <xf numFmtId="0" fontId="1" fillId="0" borderId="4" pivotButton="0" quotePrefix="0" xfId="0"/>
    <xf numFmtId="0" fontId="8" fillId="0" borderId="0" pivotButton="0" quotePrefix="0" xfId="0"/>
    <xf numFmtId="164" fontId="6" fillId="0" borderId="0" pivotButton="0" quotePrefix="0" xfId="0"/>
    <xf numFmtId="164" fontId="0" fillId="4" borderId="6" applyAlignment="1" pivotButton="0" quotePrefix="0" xfId="0">
      <alignment horizontal="right" vertical="center"/>
    </xf>
    <xf numFmtId="0" fontId="0" fillId="4" borderId="6" applyAlignment="1" pivotButton="0" quotePrefix="0" xfId="0">
      <alignment horizontal="center" vertical="center"/>
    </xf>
    <xf numFmtId="166" fontId="0" fillId="4" borderId="6" applyAlignment="1" pivotButton="0" quotePrefix="0" xfId="0">
      <alignment horizontal="center" vertical="center"/>
    </xf>
    <xf numFmtId="0" fontId="20" fillId="4" borderId="6" pivotButton="0" quotePrefix="0" xfId="0"/>
    <xf numFmtId="164" fontId="0" fillId="3" borderId="6" applyAlignment="1" pivotButton="0" quotePrefix="0" xfId="0">
      <alignment horizontal="right" vertical="center"/>
    </xf>
    <xf numFmtId="0" fontId="0" fillId="3" borderId="6" applyAlignment="1" pivotButton="0" quotePrefix="0" xfId="0">
      <alignment horizontal="center" vertical="center"/>
    </xf>
    <xf numFmtId="166" fontId="0" fillId="3" borderId="6" applyAlignment="1" pivotButton="0" quotePrefix="0" xfId="0">
      <alignment horizontal="center" vertical="center"/>
    </xf>
    <xf numFmtId="0" fontId="20" fillId="3" borderId="6" pivotButton="0" quotePrefix="0" xfId="0"/>
    <xf numFmtId="0" fontId="11" fillId="3" borderId="6" applyAlignment="1" pivotButton="0" quotePrefix="0" xfId="0">
      <alignment horizontal="right" vertical="center"/>
    </xf>
    <xf numFmtId="166" fontId="21" fillId="3" borderId="6" applyAlignment="1" pivotButton="0" quotePrefix="0" xfId="0">
      <alignment horizontal="right" vertical="center"/>
    </xf>
    <xf numFmtId="0" fontId="22" fillId="3" borderId="6" applyAlignment="1" pivotButton="0" quotePrefix="0" xfId="0">
      <alignment horizontal="right" vertical="center"/>
    </xf>
    <xf numFmtId="167" fontId="23" fillId="0" borderId="0" pivotButton="0" quotePrefix="0" xfId="0"/>
    <xf numFmtId="164" fontId="19" fillId="3" borderId="10" applyAlignment="1" pivotButton="0" quotePrefix="0" xfId="0">
      <alignment horizontal="right" vertical="center"/>
    </xf>
    <xf numFmtId="0" fontId="8" fillId="5" borderId="14" pivotButton="0" quotePrefix="0" xfId="0"/>
    <xf numFmtId="164" fontId="11" fillId="5" borderId="15" applyAlignment="1" pivotButton="0" quotePrefix="0" xfId="0">
      <alignment horizontal="right" vertical="center"/>
    </xf>
    <xf numFmtId="0" fontId="24" fillId="4" borderId="6" pivotButton="0" quotePrefix="0" xfId="0"/>
    <xf numFmtId="164" fontId="25" fillId="4" borderId="6" applyAlignment="1" pivotButton="0" quotePrefix="0" xfId="0">
      <alignment horizontal="right" vertical="center"/>
    </xf>
    <xf numFmtId="0" fontId="24" fillId="6" borderId="6" pivotButton="0" quotePrefix="0" xfId="0"/>
    <xf numFmtId="164" fontId="0" fillId="6" borderId="6" applyAlignment="1" pivotButton="0" quotePrefix="0" xfId="0">
      <alignment horizontal="right" vertical="center"/>
    </xf>
    <xf numFmtId="164" fontId="25" fillId="6" borderId="6" applyAlignment="1" pivotButton="0" quotePrefix="0" xfId="0">
      <alignment horizontal="right" vertical="center"/>
    </xf>
    <xf numFmtId="0" fontId="3" fillId="4" borderId="6" pivotButton="0" quotePrefix="0" xfId="0"/>
    <xf numFmtId="164" fontId="17" fillId="4" borderId="6" applyAlignment="1" pivotButton="0" quotePrefix="0" xfId="0">
      <alignment horizontal="right" vertical="center"/>
    </xf>
    <xf numFmtId="0" fontId="3" fillId="6" borderId="6" pivotButton="0" quotePrefix="0" xfId="0"/>
    <xf numFmtId="164" fontId="17" fillId="6" borderId="6" applyAlignment="1" pivotButton="0" quotePrefix="0" xfId="0">
      <alignment horizontal="right" vertical="center"/>
    </xf>
    <xf numFmtId="164" fontId="0" fillId="6" borderId="6" pivotButton="0" quotePrefix="0" xfId="0"/>
    <xf numFmtId="0" fontId="8" fillId="0" borderId="16" pivotButton="0" quotePrefix="0" xfId="0"/>
    <xf numFmtId="164" fontId="26" fillId="0" borderId="16" applyAlignment="1" pivotButton="0" quotePrefix="0" xfId="0">
      <alignment horizontal="right" vertical="center"/>
    </xf>
    <xf numFmtId="0" fontId="3" fillId="3" borderId="6" pivotButton="0" quotePrefix="0" xfId="0"/>
    <xf numFmtId="0" fontId="27" fillId="0" borderId="0" pivotButton="0" quotePrefix="0" xfId="0"/>
    <xf numFmtId="0" fontId="11" fillId="3" borderId="10" applyAlignment="1" pivotButton="0" quotePrefix="0" xfId="0">
      <alignment horizontal="right" vertical="center"/>
    </xf>
    <xf numFmtId="166" fontId="21" fillId="3" borderId="10" applyAlignment="1" pivotButton="0" quotePrefix="0" xfId="0">
      <alignment horizontal="right" vertical="center"/>
    </xf>
    <xf numFmtId="0" fontId="22" fillId="3" borderId="10" applyAlignment="1" pivotButton="0" quotePrefix="0" xfId="0">
      <alignment horizontal="right" vertical="center"/>
    </xf>
    <xf numFmtId="0" fontId="28" fillId="4" borderId="6" pivotButton="0" quotePrefix="0" xfId="0"/>
    <xf numFmtId="0" fontId="0" fillId="4" borderId="6" applyAlignment="1" pivotButton="0" quotePrefix="0" xfId="0">
      <alignment horizontal="right" vertical="center"/>
    </xf>
    <xf numFmtId="166" fontId="0" fillId="4" borderId="6" applyAlignment="1" pivotButton="0" quotePrefix="0" xfId="0">
      <alignment horizontal="right" vertical="center"/>
    </xf>
    <xf numFmtId="0" fontId="28" fillId="3" borderId="6" pivotButton="0" quotePrefix="0" xfId="0"/>
    <xf numFmtId="0" fontId="0" fillId="3" borderId="6" applyAlignment="1" pivotButton="0" quotePrefix="0" xfId="0">
      <alignment horizontal="right" vertical="center"/>
    </xf>
    <xf numFmtId="166" fontId="0" fillId="3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580"/>
    <outlinePr summaryBelow="1" summaryRight="1"/>
    <pageSetUpPr/>
  </sheetPr>
  <dimension ref="B1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3" customWidth="1" min="4" max="4"/>
    <col width="22" customWidth="1" min="5" max="5"/>
    <col width="3" customWidth="1" min="6" max="6"/>
    <col width="24" customWidth="1" min="7" max="7"/>
    <col width="3" customWidth="1" min="8" max="8"/>
    <col width="22" customWidth="1" min="9" max="9"/>
    <col width="3" customWidth="1" min="10" max="10"/>
    <col width="18" customWidth="1" min="11" max="11"/>
  </cols>
  <sheetData>
    <row r="1" ht="28" customHeight="1">
      <c r="B1" s="1" t="inlineStr">
        <is>
          <t>TANGERINE SHEETS — SETUP FISCALE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8" customHeight="1"/>
    <row r="3">
      <c r="B3" s="3" t="inlineStr">
        <is>
          <t>VARIABILI FISCALI</t>
        </is>
      </c>
      <c r="E3" s="3" t="inlineStr">
        <is>
          <t>CATEGORIE SPESA</t>
        </is>
      </c>
      <c r="G3" s="3" t="inlineStr">
        <is>
          <t>SECCHIELLI RISPARMIO</t>
        </is>
      </c>
      <c r="I3" s="3" t="inlineStr">
        <is>
          <t>STATO FATTURA</t>
        </is>
      </c>
      <c r="K3" s="3" t="inlineStr">
        <is>
          <t>TIPO SPESA</t>
        </is>
      </c>
    </row>
    <row r="4">
      <c r="B4" s="4" t="inlineStr">
        <is>
          <t>Coefficiente Redditivita</t>
        </is>
      </c>
      <c r="C4" s="5" t="n">
        <v>0.78</v>
      </c>
      <c r="E4" s="6" t="inlineStr">
        <is>
          <t>BUSINESS</t>
        </is>
      </c>
      <c r="G4" s="6" t="inlineStr">
        <is>
          <t>FONDO EMERGENZA</t>
        </is>
      </c>
      <c r="I4" s="6" t="inlineStr">
        <is>
          <t>PAGATO</t>
        </is>
      </c>
      <c r="K4" s="6" t="inlineStr">
        <is>
          <t>EFFETTIVA</t>
        </is>
      </c>
    </row>
    <row r="5">
      <c r="B5" s="7" t="inlineStr">
        <is>
          <t>Aliquota Tasse</t>
        </is>
      </c>
      <c r="C5" s="5" t="n">
        <v>0.05</v>
      </c>
      <c r="E5" s="8" t="inlineStr">
        <is>
          <t>AUTO</t>
        </is>
      </c>
      <c r="G5" s="8" t="inlineStr">
        <is>
          <t>PENSIONE</t>
        </is>
      </c>
      <c r="I5" s="8" t="inlineStr">
        <is>
          <t>DA PAGARE</t>
        </is>
      </c>
      <c r="K5" s="8" t="inlineStr">
        <is>
          <t>PROGRAMMATA</t>
        </is>
      </c>
    </row>
    <row r="6">
      <c r="B6" s="4" t="inlineStr">
        <is>
          <t>Minimale INPS Annuo</t>
        </is>
      </c>
      <c r="C6" s="9" t="n">
        <v>18808</v>
      </c>
      <c r="E6" s="6" t="inlineStr">
        <is>
          <t>VITA</t>
        </is>
      </c>
      <c r="G6" s="6" t="inlineStr">
        <is>
          <t>VACANZE</t>
        </is>
      </c>
      <c r="I6" s="6" t="inlineStr">
        <is>
          <t>PROGRAMMATO</t>
        </is>
      </c>
    </row>
    <row r="7">
      <c r="B7" s="7" t="inlineStr">
        <is>
          <t>INPS Fisso Mensile</t>
        </is>
      </c>
      <c r="C7" s="9" t="n">
        <v>376.78</v>
      </c>
      <c r="E7" s="8" t="inlineStr">
        <is>
          <t>SVAGO</t>
        </is>
      </c>
      <c r="G7" s="8" t="inlineStr">
        <is>
          <t>FORMAZIONE</t>
        </is>
      </c>
    </row>
    <row r="8">
      <c r="B8" s="4" t="inlineStr">
        <is>
          <t>Aliquota INPS Eccedenza</t>
        </is>
      </c>
      <c r="C8" s="5" t="n">
        <v>0.24</v>
      </c>
      <c r="E8" s="6" t="inlineStr">
        <is>
          <t>INVESTIMENTO</t>
        </is>
      </c>
      <c r="G8" s="6" t="inlineStr">
        <is>
          <t>INVESTIMENTO PAC</t>
        </is>
      </c>
    </row>
    <row r="9">
      <c r="E9" s="8" t="inlineStr">
        <is>
          <t>FORMAZIONE</t>
        </is>
      </c>
      <c r="G9" s="8" t="inlineStr">
        <is>
          <t>ALTRO</t>
        </is>
      </c>
    </row>
    <row r="10">
      <c r="E10" s="6" t="inlineStr">
        <is>
          <t>SALUTE</t>
        </is>
      </c>
    </row>
  </sheetData>
  <mergeCells count="6">
    <mergeCell ref="B1:K1"/>
    <mergeCell ref="K3"/>
    <mergeCell ref="B3:C3"/>
    <mergeCell ref="E3"/>
    <mergeCell ref="G3"/>
    <mergeCell ref="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GENNAIO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FEBBRAIO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MARZO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APRILE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MAGGIO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GIUGNO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LUGLIO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AGOSTO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SETTEMBRE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OTTOBRE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NOVEMBRE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5C00"/>
    <outlinePr summaryBelow="1" summaryRight="1"/>
    <pageSetUpPr/>
  </sheetPr>
  <dimension ref="B1:L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3" customWidth="1" min="9" max="9"/>
    <col width="24" customWidth="1" min="10" max="10"/>
    <col width="16" customWidth="1" min="11" max="11"/>
    <col width="20" customWidth="1" min="12" max="12"/>
  </cols>
  <sheetData>
    <row r="1" ht="30" customHeight="1">
      <c r="B1" s="10" t="inlineStr">
        <is>
          <t>DICEMBRE 2026</t>
        </is>
      </c>
    </row>
    <row r="2" ht="6" customHeight="1"/>
    <row r="3">
      <c r="B3" s="11" t="inlineStr">
        <is>
          <t>FATTURE P.IVA</t>
        </is>
      </c>
      <c r="J3" s="11" t="inlineStr">
        <is>
          <t>RIEPILOGO MESE</t>
        </is>
      </c>
    </row>
    <row r="4" ht="16" customHeight="1">
      <c r="B4" s="12" t="inlineStr">
        <is>
          <t>CLIENTE</t>
        </is>
      </c>
      <c r="C4" s="12" t="inlineStr">
        <is>
          <t>LORDO</t>
        </is>
      </c>
      <c r="D4" s="12" t="inlineStr">
        <is>
          <t>NETTO</t>
        </is>
      </c>
      <c r="E4" s="12" t="inlineStr">
        <is>
          <t>STATO</t>
        </is>
      </c>
      <c r="F4" s="12" t="inlineStr">
        <is>
          <t>TASSE</t>
        </is>
      </c>
      <c r="G4" s="12" t="inlineStr">
        <is>
          <t>INPS</t>
        </is>
      </c>
      <c r="H4" s="12" t="inlineStr">
        <is>
          <t>NETTO REALE</t>
        </is>
      </c>
    </row>
    <row r="5">
      <c r="B5" s="13" t="n"/>
      <c r="C5" s="14" t="n"/>
      <c r="D5" s="14">
        <f>IF(E5="PAGATO",C5-F5-G5,0)</f>
        <v/>
      </c>
      <c r="E5" s="13" t="n"/>
      <c r="F5" s="14">
        <f>IF(E5="PAGATO",C5*SETUP!$C$4*SETUP!$C$5,0)</f>
        <v/>
      </c>
      <c r="G5" s="14">
        <f>IF(E5="PAGATO",IF(COUNTIF($E$5:E5,"PAGATO")=1,SETUP!$C$7,0),0)</f>
        <v/>
      </c>
      <c r="H5" s="14">
        <f>IF(E5="PAGATO",C5-F5-G5,0)</f>
        <v/>
      </c>
      <c r="J5" s="15" t="inlineStr">
        <is>
          <t>Fatturato Incassato</t>
        </is>
      </c>
      <c r="K5" s="16">
        <f>SUMIF(E5:E36,"PAGATO",C5:C36)</f>
        <v/>
      </c>
      <c r="L5" s="17" t="n"/>
    </row>
    <row r="6">
      <c r="B6" s="18" t="n"/>
      <c r="C6" s="19" t="n"/>
      <c r="D6" s="19">
        <f>IF(E6="PAGATO",C6-F6-G6,0)</f>
        <v/>
      </c>
      <c r="E6" s="18" t="n"/>
      <c r="F6" s="19">
        <f>IF(E6="PAGATO",C6*SETUP!$C$4*SETUP!$C$5,0)</f>
        <v/>
      </c>
      <c r="G6" s="19">
        <f>IF(E6="PAGATO",IF(COUNTIF($E$5:E6,"PAGATO")=1,SETUP!$C$7,0),0)</f>
        <v/>
      </c>
      <c r="H6" s="19">
        <f>IF(E6="PAGATO",C6-F6-G6,0)</f>
        <v/>
      </c>
      <c r="J6" s="20" t="inlineStr">
        <is>
          <t>Da Incassare</t>
        </is>
      </c>
      <c r="K6" s="21">
        <f>SUMIF(E5:E36,"DA PAGARE",C5:C36)</f>
        <v/>
      </c>
    </row>
    <row r="7">
      <c r="B7" s="13" t="n"/>
      <c r="C7" s="14" t="n"/>
      <c r="D7" s="14">
        <f>IF(E7="PAGATO",C7-F7-G7,0)</f>
        <v/>
      </c>
      <c r="E7" s="13" t="n"/>
      <c r="F7" s="14">
        <f>IF(E7="PAGATO",C7*SETUP!$C$4*SETUP!$C$5,0)</f>
        <v/>
      </c>
      <c r="G7" s="14">
        <f>IF(E7="PAGATO",IF(COUNTIF($E$5:E7,"PAGATO")=1,SETUP!$C$7,0),0)</f>
        <v/>
      </c>
      <c r="H7" s="14">
        <f>IF(E7="PAGATO",C7-F7-G7,0)</f>
        <v/>
      </c>
      <c r="J7" s="22" t="inlineStr">
        <is>
          <t>Pipeline Programmata</t>
        </is>
      </c>
      <c r="K7" s="23">
        <f>SUMIF(E5:E36,"PROGRAMMATO",C5:C36)</f>
        <v/>
      </c>
    </row>
    <row r="8">
      <c r="B8" s="18" t="n"/>
      <c r="C8" s="19" t="n"/>
      <c r="D8" s="19">
        <f>IF(E8="PAGATO",C8-F8-G8,0)</f>
        <v/>
      </c>
      <c r="E8" s="18" t="n"/>
      <c r="F8" s="19">
        <f>IF(E8="PAGATO",C8*SETUP!$C$4*SETUP!$C$5,0)</f>
        <v/>
      </c>
      <c r="G8" s="19">
        <f>IF(E8="PAGATO",IF(COUNTIF($E$5:E8,"PAGATO")=1,SETUP!$C$7,0),0)</f>
        <v/>
      </c>
      <c r="H8" s="19">
        <f>IF(E8="PAGATO",C8-F8-G8,0)</f>
        <v/>
      </c>
      <c r="J8" s="24" t="inlineStr">
        <is>
          <t>Entrate Nette Pure</t>
        </is>
      </c>
      <c r="K8" s="25">
        <f>C51</f>
        <v/>
      </c>
    </row>
    <row r="9">
      <c r="B9" s="13" t="n"/>
      <c r="C9" s="14" t="n"/>
      <c r="D9" s="14">
        <f>IF(E9="PAGATO",C9-F9-G9,0)</f>
        <v/>
      </c>
      <c r="E9" s="13" t="n"/>
      <c r="F9" s="14">
        <f>IF(E9="PAGATO",C9*SETUP!$C$4*SETUP!$C$5,0)</f>
        <v/>
      </c>
      <c r="G9" s="14">
        <f>IF(E9="PAGATO",IF(COUNTIF($E$5:E9,"PAGATO")=1,SETUP!$C$7,0),0)</f>
        <v/>
      </c>
      <c r="H9" s="14">
        <f>IF(E9="PAGATO",C9-F9-G9,0)</f>
        <v/>
      </c>
      <c r="J9" s="26" t="inlineStr">
        <is>
          <t>Spese Effettive</t>
        </is>
      </c>
      <c r="K9" s="27">
        <f>C89</f>
        <v/>
      </c>
    </row>
    <row r="10">
      <c r="B10" s="18" t="n"/>
      <c r="C10" s="19" t="n"/>
      <c r="D10" s="19">
        <f>IF(E10="PAGATO",C10-F10-G10,0)</f>
        <v/>
      </c>
      <c r="E10" s="18" t="n"/>
      <c r="F10" s="19">
        <f>IF(E10="PAGATO",C10*SETUP!$C$4*SETUP!$C$5,0)</f>
        <v/>
      </c>
      <c r="G10" s="19">
        <f>IF(E10="PAGATO",IF(COUNTIF($E$5:E10,"PAGATO")=1,SETUP!$C$7,0),0)</f>
        <v/>
      </c>
      <c r="H10" s="19">
        <f>IF(E10="PAGATO",C10-F10-G10,0)</f>
        <v/>
      </c>
      <c r="J10" s="22" t="inlineStr">
        <is>
          <t>Spese Programmate</t>
        </is>
      </c>
      <c r="K10" s="23">
        <f>C90</f>
        <v/>
      </c>
    </row>
    <row r="11">
      <c r="B11" s="13" t="n"/>
      <c r="C11" s="14" t="n"/>
      <c r="D11" s="14">
        <f>IF(E11="PAGATO",C11-F11-G11,0)</f>
        <v/>
      </c>
      <c r="E11" s="13" t="n"/>
      <c r="F11" s="14">
        <f>IF(E11="PAGATO",C11*SETUP!$C$4*SETUP!$C$5,0)</f>
        <v/>
      </c>
      <c r="G11" s="14">
        <f>IF(E11="PAGATO",IF(COUNTIF($E$5:E11,"PAGATO")=1,SETUP!$C$7,0),0)</f>
        <v/>
      </c>
      <c r="H11" s="14">
        <f>IF(E11="PAGATO",C11-F11-G11,0)</f>
        <v/>
      </c>
      <c r="J11" s="28" t="inlineStr">
        <is>
          <t>Zavorra Fiscale</t>
        </is>
      </c>
      <c r="K11" s="29">
        <f>SUM(F5:F36)+SUM(G5:G36)</f>
        <v/>
      </c>
      <c r="L11" s="17" t="n"/>
    </row>
    <row r="12">
      <c r="B12" s="18" t="n"/>
      <c r="C12" s="19" t="n"/>
      <c r="D12" s="19">
        <f>IF(E12="PAGATO",C12-F12-G12,0)</f>
        <v/>
      </c>
      <c r="E12" s="18" t="n"/>
      <c r="F12" s="19">
        <f>IF(E12="PAGATO",C12*SETUP!$C$4*SETUP!$C$5,0)</f>
        <v/>
      </c>
      <c r="G12" s="19">
        <f>IF(E12="PAGATO",IF(COUNTIF($E$5:E12,"PAGATO")=1,SETUP!$C$7,0),0)</f>
        <v/>
      </c>
      <c r="H12" s="19">
        <f>IF(E12="PAGATO",C12-F12-G12,0)</f>
        <v/>
      </c>
      <c r="J12" s="30" t="inlineStr">
        <is>
          <t>Netto Reale Mensile</t>
        </is>
      </c>
      <c r="K12" s="31">
        <f>(K5-K11)+K8-K9</f>
        <v/>
      </c>
      <c r="L12" s="17" t="n"/>
    </row>
    <row r="13">
      <c r="B13" s="13" t="n"/>
      <c r="C13" s="14" t="n"/>
      <c r="D13" s="14">
        <f>IF(E13="PAGATO",C13-F13-G13,0)</f>
        <v/>
      </c>
      <c r="E13" s="13" t="n"/>
      <c r="F13" s="14">
        <f>IF(E13="PAGATO",C13*SETUP!$C$4*SETUP!$C$5,0)</f>
        <v/>
      </c>
      <c r="G13" s="14">
        <f>IF(E13="PAGATO",IF(COUNTIF($E$5:E13,"PAGATO")=1,SETUP!$C$7,0),0)</f>
        <v/>
      </c>
      <c r="H13" s="14">
        <f>IF(E13="PAGATO",C13-F13-G13,0)</f>
        <v/>
      </c>
      <c r="J13" s="32" t="inlineStr">
        <is>
          <t>Totale Secchielli</t>
        </is>
      </c>
      <c r="K13" s="33">
        <f>SUM(K20:K31)</f>
        <v/>
      </c>
    </row>
    <row r="14">
      <c r="B14" s="18" t="n"/>
      <c r="C14" s="19" t="n"/>
      <c r="D14" s="19">
        <f>IF(E14="PAGATO",C14-F14-G14,0)</f>
        <v/>
      </c>
      <c r="E14" s="18" t="n"/>
      <c r="F14" s="19">
        <f>IF(E14="PAGATO",C14*SETUP!$C$4*SETUP!$C$5,0)</f>
        <v/>
      </c>
      <c r="G14" s="19">
        <f>IF(E14="PAGATO",IF(COUNTIF($E$5:E14,"PAGATO")=1,SETUP!$C$7,0),0)</f>
        <v/>
      </c>
      <c r="H14" s="19">
        <f>IF(E14="PAGATO",C14-F14-G14,0)</f>
        <v/>
      </c>
      <c r="J14" s="34" t="inlineStr">
        <is>
          <t>Netto Rimanente</t>
        </is>
      </c>
      <c r="K14" s="35">
        <f>K12-K13</f>
        <v/>
      </c>
    </row>
    <row r="15">
      <c r="B15" s="13" t="n"/>
      <c r="C15" s="14" t="n"/>
      <c r="D15" s="14">
        <f>IF(E15="PAGATO",C15-F15-G15,0)</f>
        <v/>
      </c>
      <c r="E15" s="13" t="n"/>
      <c r="F15" s="14">
        <f>IF(E15="PAGATO",C15*SETUP!$C$4*SETUP!$C$5,0)</f>
        <v/>
      </c>
      <c r="G15" s="14">
        <f>IF(E15="PAGATO",IF(COUNTIF($E$5:E15,"PAGATO")=1,SETUP!$C$7,0),0)</f>
        <v/>
      </c>
      <c r="H15" s="14">
        <f>IF(E15="PAGATO",C15-F15-G15,0)</f>
        <v/>
      </c>
      <c r="J15" s="36" t="inlineStr">
        <is>
          <t>Imponibile Mese</t>
        </is>
      </c>
      <c r="K15" s="37">
        <f>K5*SETUP!$C$4</f>
        <v/>
      </c>
    </row>
    <row r="16">
      <c r="B16" s="18" t="n"/>
      <c r="C16" s="19" t="n"/>
      <c r="D16" s="19">
        <f>IF(E16="PAGATO",C16-F16-G16,0)</f>
        <v/>
      </c>
      <c r="E16" s="18" t="n"/>
      <c r="F16" s="19">
        <f>IF(E16="PAGATO",C16*SETUP!$C$4*SETUP!$C$5,0)</f>
        <v/>
      </c>
      <c r="G16" s="19">
        <f>IF(E16="PAGATO",IF(COUNTIF($E$5:E16,"PAGATO")=1,SETUP!$C$7,0),0)</f>
        <v/>
      </c>
      <c r="H16" s="19">
        <f>IF(E16="PAGATO",C16-F16-G16,0)</f>
        <v/>
      </c>
      <c r="J16" s="36" t="inlineStr">
        <is>
          <t>Saving Rate</t>
        </is>
      </c>
      <c r="K16" s="38">
        <f>IFERROR(K13/K5,0)</f>
        <v/>
      </c>
    </row>
    <row r="17">
      <c r="B17" s="13" t="n"/>
      <c r="C17" s="14" t="n"/>
      <c r="D17" s="14">
        <f>IF(E17="PAGATO",C17-F17-G17,0)</f>
        <v/>
      </c>
      <c r="E17" s="13" t="n"/>
      <c r="F17" s="14">
        <f>IF(E17="PAGATO",C17*SETUP!$C$4*SETUP!$C$5,0)</f>
        <v/>
      </c>
      <c r="G17" s="14">
        <f>IF(E17="PAGATO",IF(COUNTIF($E$5:E17,"PAGATO")=1,SETUP!$C$7,0),0)</f>
        <v/>
      </c>
      <c r="H17" s="14">
        <f>IF(E17="PAGATO",C17-F17-G17,0)</f>
        <v/>
      </c>
      <c r="J17" s="30" t="inlineStr">
        <is>
          <t>TAX SAFE</t>
        </is>
      </c>
      <c r="K17" s="31">
        <f>K14-K11</f>
        <v/>
      </c>
      <c r="L17" s="17" t="n"/>
    </row>
    <row r="18">
      <c r="B18" s="18" t="n"/>
      <c r="C18" s="19" t="n"/>
      <c r="D18" s="19">
        <f>IF(E18="PAGATO",C18-F18-G18,0)</f>
        <v/>
      </c>
      <c r="E18" s="18" t="n"/>
      <c r="F18" s="19">
        <f>IF(E18="PAGATO",C18*SETUP!$C$4*SETUP!$C$5,0)</f>
        <v/>
      </c>
      <c r="G18" s="19">
        <f>IF(E18="PAGATO",IF(COUNTIF($E$5:E18,"PAGATO")=1,SETUP!$C$7,0),0)</f>
        <v/>
      </c>
      <c r="H18" s="19">
        <f>IF(E18="PAGATO",C18-F18-G18,0)</f>
        <v/>
      </c>
      <c r="J18" s="39" t="inlineStr">
        <is>
          <t>STATO MESE</t>
        </is>
      </c>
      <c r="K18" s="40">
        <f>IF(K16&gt;=0.2,"MESE SANO",IF(K16&gt;=0.1,"ATTENZIONE",IF(K17&lt;0,"TASSE A RISCHIO","SAVING BASSO")))</f>
        <v/>
      </c>
    </row>
    <row r="19" ht="6" customHeight="1">
      <c r="B19" s="13" t="n"/>
      <c r="C19" s="14" t="n"/>
      <c r="D19" s="14">
        <f>IF(E19="PAGATO",C19-F19-G19,0)</f>
        <v/>
      </c>
      <c r="E19" s="13" t="n"/>
      <c r="F19" s="14">
        <f>IF(E19="PAGATO",C19*SETUP!$C$4*SETUP!$C$5,0)</f>
        <v/>
      </c>
      <c r="G19" s="14">
        <f>IF(E19="PAGATO",IF(COUNTIF($E$5:E19,"PAGATO")=1,SETUP!$C$7,0),0)</f>
        <v/>
      </c>
      <c r="H19" s="14">
        <f>IF(E19="PAGATO",C19-F19-G19,0)</f>
        <v/>
      </c>
      <c r="J19" s="11" t="inlineStr">
        <is>
          <t>SECCHIELLI RISPARMIO</t>
        </is>
      </c>
    </row>
    <row r="20">
      <c r="B20" s="18" t="n"/>
      <c r="C20" s="19" t="n"/>
      <c r="D20" s="19">
        <f>IF(E20="PAGATO",C20-F20-G20,0)</f>
        <v/>
      </c>
      <c r="E20" s="18" t="n"/>
      <c r="F20" s="19">
        <f>IF(E20="PAGATO",C20*SETUP!$C$4*SETUP!$C$5,0)</f>
        <v/>
      </c>
      <c r="G20" s="19">
        <f>IF(E20="PAGATO",IF(COUNTIF($E$5:E20,"PAGATO")=1,SETUP!$C$7,0),0)</f>
        <v/>
      </c>
      <c r="H20" s="19">
        <f>IF(E20="PAGATO",C20-F20-G20,0)</f>
        <v/>
      </c>
      <c r="J20" s="12" t="inlineStr">
        <is>
          <t>OBIETTIVO</t>
        </is>
      </c>
      <c r="K20" s="12" t="inlineStr">
        <is>
          <t>IMPORTO</t>
        </is>
      </c>
      <c r="L20" s="12" t="inlineStr">
        <is>
          <t>DESCRIZIONE</t>
        </is>
      </c>
    </row>
    <row r="21">
      <c r="B21" s="13" t="n"/>
      <c r="C21" s="14" t="n"/>
      <c r="D21" s="14">
        <f>IF(E21="PAGATO",C21-F21-G21,0)</f>
        <v/>
      </c>
      <c r="E21" s="13" t="n"/>
      <c r="F21" s="14">
        <f>IF(E21="PAGATO",C21*SETUP!$C$4*SETUP!$C$5,0)</f>
        <v/>
      </c>
      <c r="G21" s="14">
        <f>IF(E21="PAGATO",IF(COUNTIF($E$5:E21,"PAGATO")=1,SETUP!$C$7,0),0)</f>
        <v/>
      </c>
      <c r="H21" s="14">
        <f>IF(E21="PAGATO",C21-F21-G21,0)</f>
        <v/>
      </c>
      <c r="J21" s="41" t="n"/>
      <c r="K21" s="42" t="n"/>
      <c r="L21" s="41" t="n"/>
    </row>
    <row r="22">
      <c r="B22" s="18" t="n"/>
      <c r="C22" s="19" t="n"/>
      <c r="D22" s="19">
        <f>IF(E22="PAGATO",C22-F22-G22,0)</f>
        <v/>
      </c>
      <c r="E22" s="18" t="n"/>
      <c r="F22" s="19">
        <f>IF(E22="PAGATO",C22*SETUP!$C$4*SETUP!$C$5,0)</f>
        <v/>
      </c>
      <c r="G22" s="19">
        <f>IF(E22="PAGATO",IF(COUNTIF($E$5:E22,"PAGATO")=1,SETUP!$C$7,0),0)</f>
        <v/>
      </c>
      <c r="H22" s="19">
        <f>IF(E22="PAGATO",C22-F22-G22,0)</f>
        <v/>
      </c>
      <c r="J22" s="17" t="n"/>
      <c r="K22" s="43" t="n"/>
      <c r="L22" s="17" t="n"/>
    </row>
    <row r="23">
      <c r="B23" s="13" t="n"/>
      <c r="C23" s="14" t="n"/>
      <c r="D23" s="14">
        <f>IF(E23="PAGATO",C23-F23-G23,0)</f>
        <v/>
      </c>
      <c r="E23" s="13" t="n"/>
      <c r="F23" s="14">
        <f>IF(E23="PAGATO",C23*SETUP!$C$4*SETUP!$C$5,0)</f>
        <v/>
      </c>
      <c r="G23" s="14">
        <f>IF(E23="PAGATO",IF(COUNTIF($E$5:E23,"PAGATO")=1,SETUP!$C$7,0),0)</f>
        <v/>
      </c>
      <c r="H23" s="14">
        <f>IF(E23="PAGATO",C23-F23-G23,0)</f>
        <v/>
      </c>
      <c r="J23" s="41" t="n"/>
      <c r="K23" s="42" t="n"/>
      <c r="L23" s="41" t="n"/>
    </row>
    <row r="24">
      <c r="B24" s="18" t="n"/>
      <c r="C24" s="19" t="n"/>
      <c r="D24" s="19">
        <f>IF(E24="PAGATO",C24-F24-G24,0)</f>
        <v/>
      </c>
      <c r="E24" s="18" t="n"/>
      <c r="F24" s="19">
        <f>IF(E24="PAGATO",C24*SETUP!$C$4*SETUP!$C$5,0)</f>
        <v/>
      </c>
      <c r="G24" s="19">
        <f>IF(E24="PAGATO",IF(COUNTIF($E$5:E24,"PAGATO")=1,SETUP!$C$7,0),0)</f>
        <v/>
      </c>
      <c r="H24" s="19">
        <f>IF(E24="PAGATO",C24-F24-G24,0)</f>
        <v/>
      </c>
      <c r="J24" s="17" t="n"/>
      <c r="K24" s="43" t="n"/>
      <c r="L24" s="17" t="n"/>
    </row>
    <row r="25">
      <c r="B25" s="13" t="n"/>
      <c r="C25" s="14" t="n"/>
      <c r="D25" s="14">
        <f>IF(E25="PAGATO",C25-F25-G25,0)</f>
        <v/>
      </c>
      <c r="E25" s="13" t="n"/>
      <c r="F25" s="14">
        <f>IF(E25="PAGATO",C25*SETUP!$C$4*SETUP!$C$5,0)</f>
        <v/>
      </c>
      <c r="G25" s="14">
        <f>IF(E25="PAGATO",IF(COUNTIF($E$5:E25,"PAGATO")=1,SETUP!$C$7,0),0)</f>
        <v/>
      </c>
      <c r="H25" s="14">
        <f>IF(E25="PAGATO",C25-F25-G25,0)</f>
        <v/>
      </c>
      <c r="J25" s="41" t="n"/>
      <c r="K25" s="42" t="n"/>
      <c r="L25" s="41" t="n"/>
    </row>
    <row r="26">
      <c r="B26" s="18" t="n"/>
      <c r="C26" s="19" t="n"/>
      <c r="D26" s="19">
        <f>IF(E26="PAGATO",C26-F26-G26,0)</f>
        <v/>
      </c>
      <c r="E26" s="18" t="n"/>
      <c r="F26" s="19">
        <f>IF(E26="PAGATO",C26*SETUP!$C$4*SETUP!$C$5,0)</f>
        <v/>
      </c>
      <c r="G26" s="19">
        <f>IF(E26="PAGATO",IF(COUNTIF($E$5:E26,"PAGATO")=1,SETUP!$C$7,0),0)</f>
        <v/>
      </c>
      <c r="H26" s="19">
        <f>IF(E26="PAGATO",C26-F26-G26,0)</f>
        <v/>
      </c>
      <c r="J26" s="17" t="n"/>
      <c r="K26" s="43" t="n"/>
      <c r="L26" s="17" t="n"/>
    </row>
    <row r="27">
      <c r="B27" s="13" t="n"/>
      <c r="C27" s="14" t="n"/>
      <c r="D27" s="14">
        <f>IF(E27="PAGATO",C27-F27-G27,0)</f>
        <v/>
      </c>
      <c r="E27" s="13" t="n"/>
      <c r="F27" s="14">
        <f>IF(E27="PAGATO",C27*SETUP!$C$4*SETUP!$C$5,0)</f>
        <v/>
      </c>
      <c r="G27" s="14">
        <f>IF(E27="PAGATO",IF(COUNTIF($E$5:E27,"PAGATO")=1,SETUP!$C$7,0),0)</f>
        <v/>
      </c>
      <c r="H27" s="14">
        <f>IF(E27="PAGATO",C27-F27-G27,0)</f>
        <v/>
      </c>
      <c r="J27" s="41" t="n"/>
      <c r="K27" s="42" t="n"/>
      <c r="L27" s="41" t="n"/>
    </row>
    <row r="28">
      <c r="B28" s="18" t="n"/>
      <c r="C28" s="19" t="n"/>
      <c r="D28" s="19">
        <f>IF(E28="PAGATO",C28-F28-G28,0)</f>
        <v/>
      </c>
      <c r="E28" s="18" t="n"/>
      <c r="F28" s="19">
        <f>IF(E28="PAGATO",C28*SETUP!$C$4*SETUP!$C$5,0)</f>
        <v/>
      </c>
      <c r="G28" s="19">
        <f>IF(E28="PAGATO",IF(COUNTIF($E$5:E28,"PAGATO")=1,SETUP!$C$7,0),0)</f>
        <v/>
      </c>
      <c r="H28" s="19">
        <f>IF(E28="PAGATO",C28-F28-G28,0)</f>
        <v/>
      </c>
      <c r="J28" s="17" t="n"/>
      <c r="K28" s="43" t="n"/>
      <c r="L28" s="17" t="n"/>
    </row>
    <row r="29">
      <c r="B29" s="13" t="n"/>
      <c r="C29" s="14" t="n"/>
      <c r="D29" s="14">
        <f>IF(E29="PAGATO",C29-F29-G29,0)</f>
        <v/>
      </c>
      <c r="E29" s="13" t="n"/>
      <c r="F29" s="14">
        <f>IF(E29="PAGATO",C29*SETUP!$C$4*SETUP!$C$5,0)</f>
        <v/>
      </c>
      <c r="G29" s="14">
        <f>IF(E29="PAGATO",IF(COUNTIF($E$5:E29,"PAGATO")=1,SETUP!$C$7,0),0)</f>
        <v/>
      </c>
      <c r="H29" s="14">
        <f>IF(E29="PAGATO",C29-F29-G29,0)</f>
        <v/>
      </c>
      <c r="J29" s="41" t="n"/>
      <c r="K29" s="42" t="n"/>
      <c r="L29" s="41" t="n"/>
    </row>
    <row r="30">
      <c r="B30" s="18" t="n"/>
      <c r="C30" s="19" t="n"/>
      <c r="D30" s="19">
        <f>IF(E30="PAGATO",C30-F30-G30,0)</f>
        <v/>
      </c>
      <c r="E30" s="18" t="n"/>
      <c r="F30" s="19">
        <f>IF(E30="PAGATO",C30*SETUP!$C$4*SETUP!$C$5,0)</f>
        <v/>
      </c>
      <c r="G30" s="19">
        <f>IF(E30="PAGATO",IF(COUNTIF($E$5:E30,"PAGATO")=1,SETUP!$C$7,0),0)</f>
        <v/>
      </c>
      <c r="H30" s="19">
        <f>IF(E30="PAGATO",C30-F30-G30,0)</f>
        <v/>
      </c>
      <c r="J30" s="17" t="n"/>
      <c r="K30" s="43" t="n"/>
      <c r="L30" s="17" t="n"/>
    </row>
    <row r="31">
      <c r="B31" s="13" t="n"/>
      <c r="C31" s="14" t="n"/>
      <c r="D31" s="14">
        <f>IF(E31="PAGATO",C31-F31-G31,0)</f>
        <v/>
      </c>
      <c r="E31" s="13" t="n"/>
      <c r="F31" s="14">
        <f>IF(E31="PAGATO",C31*SETUP!$C$4*SETUP!$C$5,0)</f>
        <v/>
      </c>
      <c r="G31" s="14">
        <f>IF(E31="PAGATO",IF(COUNTIF($E$5:E31,"PAGATO")=1,SETUP!$C$7,0),0)</f>
        <v/>
      </c>
      <c r="H31" s="14">
        <f>IF(E31="PAGATO",C31-F31-G31,0)</f>
        <v/>
      </c>
      <c r="J31" s="41" t="n"/>
      <c r="K31" s="42" t="n"/>
      <c r="L31" s="41" t="n"/>
    </row>
    <row r="32">
      <c r="B32" s="18" t="n"/>
      <c r="C32" s="19" t="n"/>
      <c r="D32" s="19">
        <f>IF(E32="PAGATO",C32-F32-G32,0)</f>
        <v/>
      </c>
      <c r="E32" s="18" t="n"/>
      <c r="F32" s="19">
        <f>IF(E32="PAGATO",C32*SETUP!$C$4*SETUP!$C$5,0)</f>
        <v/>
      </c>
      <c r="G32" s="19">
        <f>IF(E32="PAGATO",IF(COUNTIF($E$5:E32,"PAGATO")=1,SETUP!$C$7,0),0)</f>
        <v/>
      </c>
      <c r="H32" s="19">
        <f>IF(E32="PAGATO",C32-F32-G32,0)</f>
        <v/>
      </c>
      <c r="J32" s="17" t="n"/>
      <c r="K32" s="43" t="n"/>
      <c r="L32" s="17" t="n"/>
    </row>
    <row r="33">
      <c r="B33" s="13" t="n"/>
      <c r="C33" s="14" t="n"/>
      <c r="D33" s="14">
        <f>IF(E33="PAGATO",C33-F33-G33,0)</f>
        <v/>
      </c>
      <c r="E33" s="13" t="n"/>
      <c r="F33" s="14">
        <f>IF(E33="PAGATO",C33*SETUP!$C$4*SETUP!$C$5,0)</f>
        <v/>
      </c>
      <c r="G33" s="14">
        <f>IF(E33="PAGATO",IF(COUNTIF($E$5:E33,"PAGATO")=1,SETUP!$C$7,0),0)</f>
        <v/>
      </c>
      <c r="H33" s="14">
        <f>IF(E33="PAGATO",C33-F33-G33,0)</f>
        <v/>
      </c>
    </row>
    <row r="34">
      <c r="B34" s="18" t="n"/>
      <c r="C34" s="19" t="n"/>
      <c r="D34" s="19">
        <f>IF(E34="PAGATO",C34-F34-G34,0)</f>
        <v/>
      </c>
      <c r="E34" s="18" t="n"/>
      <c r="F34" s="19">
        <f>IF(E34="PAGATO",C34*SETUP!$C$4*SETUP!$C$5,0)</f>
        <v/>
      </c>
      <c r="G34" s="19">
        <f>IF(E34="PAGATO",IF(COUNTIF($E$5:E34,"PAGATO")=1,SETUP!$C$7,0),0)</f>
        <v/>
      </c>
      <c r="H34" s="19">
        <f>IF(E34="PAGATO",C34-F34-G34,0)</f>
        <v/>
      </c>
    </row>
    <row r="35">
      <c r="B35" s="13" t="n"/>
      <c r="C35" s="14" t="n"/>
      <c r="D35" s="14">
        <f>IF(E35="PAGATO",C35-F35-G35,0)</f>
        <v/>
      </c>
      <c r="E35" s="13" t="n"/>
      <c r="F35" s="14">
        <f>IF(E35="PAGATO",C35*SETUP!$C$4*SETUP!$C$5,0)</f>
        <v/>
      </c>
      <c r="G35" s="14">
        <f>IF(E35="PAGATO",IF(COUNTIF($E$5:E35,"PAGATO")=1,SETUP!$C$7,0),0)</f>
        <v/>
      </c>
      <c r="H35" s="14">
        <f>IF(E35="PAGATO",C35-F35-G35,0)</f>
        <v/>
      </c>
    </row>
    <row r="36">
      <c r="B36" s="18" t="n"/>
      <c r="C36" s="19" t="n"/>
      <c r="D36" s="19">
        <f>IF(E36="PAGATO",C36-F36-G36,0)</f>
        <v/>
      </c>
      <c r="E36" s="18" t="n"/>
      <c r="F36" s="19">
        <f>IF(E36="PAGATO",C36*SETUP!$C$4*SETUP!$C$5,0)</f>
        <v/>
      </c>
      <c r="G36" s="19">
        <f>IF(E36="PAGATO",IF(COUNTIF($E$5:E36,"PAGATO")=1,SETUP!$C$7,0),0)</f>
        <v/>
      </c>
      <c r="H36" s="19">
        <f>IF(E36="PAGATO",C36-F36-G36,0)</f>
        <v/>
      </c>
    </row>
    <row r="38" ht="6" customHeight="1"/>
    <row r="39">
      <c r="B39" s="11" t="inlineStr">
        <is>
          <t>ENTRATE NETTE / ESENTASSE</t>
        </is>
      </c>
    </row>
    <row r="40">
      <c r="B40" s="12" t="inlineStr">
        <is>
          <t>VOCE</t>
        </is>
      </c>
      <c r="C40" s="12" t="inlineStr">
        <is>
          <t>IMPORTO NETTO</t>
        </is>
      </c>
      <c r="D40" s="12" t="inlineStr">
        <is>
          <t>NOTE</t>
        </is>
      </c>
    </row>
    <row r="41">
      <c r="B41" s="13" t="n"/>
      <c r="C41" s="14" t="n"/>
      <c r="D41" s="13" t="n"/>
    </row>
    <row r="42">
      <c r="B42" s="18" t="n"/>
      <c r="C42" s="19" t="n"/>
      <c r="D42" s="18" t="n"/>
    </row>
    <row r="43">
      <c r="B43" s="13" t="n"/>
      <c r="C43" s="14" t="n"/>
      <c r="D43" s="13" t="n"/>
    </row>
    <row r="44">
      <c r="B44" s="18" t="n"/>
      <c r="C44" s="19" t="n"/>
      <c r="D44" s="18" t="n"/>
    </row>
    <row r="45">
      <c r="B45" s="13" t="n"/>
      <c r="C45" s="14" t="n"/>
      <c r="D45" s="13" t="n"/>
    </row>
    <row r="46">
      <c r="B46" s="18" t="n"/>
      <c r="C46" s="19" t="n"/>
      <c r="D46" s="18" t="n"/>
    </row>
    <row r="47">
      <c r="B47" s="13" t="n"/>
      <c r="C47" s="14" t="n"/>
      <c r="D47" s="13" t="n"/>
    </row>
    <row r="48">
      <c r="B48" s="18" t="n"/>
      <c r="C48" s="19" t="n"/>
      <c r="D48" s="18" t="n"/>
    </row>
    <row r="49">
      <c r="B49" s="13" t="n"/>
      <c r="C49" s="14" t="n"/>
      <c r="D49" s="13" t="n"/>
    </row>
    <row r="50">
      <c r="B50" s="18" t="n"/>
      <c r="C50" s="19" t="n"/>
      <c r="D50" s="18" t="n"/>
    </row>
    <row r="51" ht="14" customHeight="1">
      <c r="B51" s="44" t="inlineStr">
        <is>
          <t>TOTALE ENTRATE NETTE</t>
        </is>
      </c>
      <c r="C51" s="45">
        <f>SUM(C41:C50)</f>
        <v/>
      </c>
    </row>
    <row r="53" ht="6" customHeight="1"/>
    <row r="54">
      <c r="B54" s="11" t="inlineStr">
        <is>
          <t>USCITE</t>
        </is>
      </c>
    </row>
    <row r="55">
      <c r="B55" s="12" t="inlineStr">
        <is>
          <t>CATEGORIA</t>
        </is>
      </c>
      <c r="C55" s="12" t="inlineStr">
        <is>
          <t>IMPORTO</t>
        </is>
      </c>
      <c r="D55" s="12" t="inlineStr">
        <is>
          <t>DATA</t>
        </is>
      </c>
      <c r="E55" s="12" t="inlineStr">
        <is>
          <t>TIPO</t>
        </is>
      </c>
      <c r="F55" s="12" t="inlineStr">
        <is>
          <t>NOTE</t>
        </is>
      </c>
    </row>
    <row r="56">
      <c r="B56" s="13" t="n"/>
      <c r="C56" s="14" t="n"/>
      <c r="D56" s="46" t="n"/>
      <c r="E56" s="13" t="n"/>
      <c r="F56" s="13" t="n"/>
    </row>
    <row r="57">
      <c r="B57" s="18" t="n"/>
      <c r="C57" s="19" t="n"/>
      <c r="D57" s="47" t="n"/>
      <c r="E57" s="18" t="n"/>
      <c r="F57" s="18" t="n"/>
    </row>
    <row r="58">
      <c r="B58" s="13" t="n"/>
      <c r="C58" s="14" t="n"/>
      <c r="D58" s="46" t="n"/>
      <c r="E58" s="13" t="n"/>
      <c r="F58" s="13" t="n"/>
    </row>
    <row r="59">
      <c r="B59" s="18" t="n"/>
      <c r="C59" s="19" t="n"/>
      <c r="D59" s="47" t="n"/>
      <c r="E59" s="18" t="n"/>
      <c r="F59" s="18" t="n"/>
    </row>
    <row r="60">
      <c r="B60" s="13" t="n"/>
      <c r="C60" s="14" t="n"/>
      <c r="D60" s="46" t="n"/>
      <c r="E60" s="13" t="n"/>
      <c r="F60" s="13" t="n"/>
    </row>
    <row r="61">
      <c r="B61" s="18" t="n"/>
      <c r="C61" s="19" t="n"/>
      <c r="D61" s="47" t="n"/>
      <c r="E61" s="18" t="n"/>
      <c r="F61" s="18" t="n"/>
    </row>
    <row r="62">
      <c r="B62" s="13" t="n"/>
      <c r="C62" s="14" t="n"/>
      <c r="D62" s="46" t="n"/>
      <c r="E62" s="13" t="n"/>
      <c r="F62" s="13" t="n"/>
    </row>
    <row r="63">
      <c r="B63" s="18" t="n"/>
      <c r="C63" s="19" t="n"/>
      <c r="D63" s="47" t="n"/>
      <c r="E63" s="18" t="n"/>
      <c r="F63" s="18" t="n"/>
    </row>
    <row r="64">
      <c r="B64" s="13" t="n"/>
      <c r="C64" s="14" t="n"/>
      <c r="D64" s="46" t="n"/>
      <c r="E64" s="13" t="n"/>
      <c r="F64" s="13" t="n"/>
    </row>
    <row r="65">
      <c r="B65" s="18" t="n"/>
      <c r="C65" s="19" t="n"/>
      <c r="D65" s="47" t="n"/>
      <c r="E65" s="18" t="n"/>
      <c r="F65" s="18" t="n"/>
    </row>
    <row r="66">
      <c r="B66" s="13" t="n"/>
      <c r="C66" s="14" t="n"/>
      <c r="D66" s="46" t="n"/>
      <c r="E66" s="13" t="n"/>
      <c r="F66" s="13" t="n"/>
    </row>
    <row r="67">
      <c r="B67" s="18" t="n"/>
      <c r="C67" s="19" t="n"/>
      <c r="D67" s="47" t="n"/>
      <c r="E67" s="18" t="n"/>
      <c r="F67" s="18" t="n"/>
    </row>
    <row r="68">
      <c r="B68" s="13" t="n"/>
      <c r="C68" s="14" t="n"/>
      <c r="D68" s="46" t="n"/>
      <c r="E68" s="13" t="n"/>
      <c r="F68" s="13" t="n"/>
    </row>
    <row r="69">
      <c r="B69" s="18" t="n"/>
      <c r="C69" s="19" t="n"/>
      <c r="D69" s="47" t="n"/>
      <c r="E69" s="18" t="n"/>
      <c r="F69" s="18" t="n"/>
    </row>
    <row r="70">
      <c r="B70" s="13" t="n"/>
      <c r="C70" s="14" t="n"/>
      <c r="D70" s="46" t="n"/>
      <c r="E70" s="13" t="n"/>
      <c r="F70" s="13" t="n"/>
    </row>
    <row r="71">
      <c r="B71" s="18" t="n"/>
      <c r="C71" s="19" t="n"/>
      <c r="D71" s="47" t="n"/>
      <c r="E71" s="18" t="n"/>
      <c r="F71" s="18" t="n"/>
    </row>
    <row r="72">
      <c r="B72" s="13" t="n"/>
      <c r="C72" s="14" t="n"/>
      <c r="D72" s="46" t="n"/>
      <c r="E72" s="13" t="n"/>
      <c r="F72" s="13" t="n"/>
    </row>
    <row r="73">
      <c r="B73" s="18" t="n"/>
      <c r="C73" s="19" t="n"/>
      <c r="D73" s="47" t="n"/>
      <c r="E73" s="18" t="n"/>
      <c r="F73" s="18" t="n"/>
    </row>
    <row r="74">
      <c r="B74" s="13" t="n"/>
      <c r="C74" s="14" t="n"/>
      <c r="D74" s="46" t="n"/>
      <c r="E74" s="13" t="n"/>
      <c r="F74" s="13" t="n"/>
    </row>
    <row r="75">
      <c r="B75" s="18" t="n"/>
      <c r="C75" s="19" t="n"/>
      <c r="D75" s="47" t="n"/>
      <c r="E75" s="18" t="n"/>
      <c r="F75" s="18" t="n"/>
    </row>
    <row r="76">
      <c r="B76" s="13" t="n"/>
      <c r="C76" s="14" t="n"/>
      <c r="D76" s="46" t="n"/>
      <c r="E76" s="13" t="n"/>
      <c r="F76" s="13" t="n"/>
    </row>
    <row r="77">
      <c r="B77" s="18" t="n"/>
      <c r="C77" s="19" t="n"/>
      <c r="D77" s="47" t="n"/>
      <c r="E77" s="18" t="n"/>
      <c r="F77" s="18" t="n"/>
    </row>
    <row r="78">
      <c r="B78" s="13" t="n"/>
      <c r="C78" s="14" t="n"/>
      <c r="D78" s="46" t="n"/>
      <c r="E78" s="13" t="n"/>
      <c r="F78" s="13" t="n"/>
    </row>
    <row r="79">
      <c r="B79" s="18" t="n"/>
      <c r="C79" s="19" t="n"/>
      <c r="D79" s="47" t="n"/>
      <c r="E79" s="18" t="n"/>
      <c r="F79" s="18" t="n"/>
    </row>
    <row r="80">
      <c r="B80" s="13" t="n"/>
      <c r="C80" s="14" t="n"/>
      <c r="D80" s="46" t="n"/>
      <c r="E80" s="13" t="n"/>
      <c r="F80" s="13" t="n"/>
    </row>
    <row r="81">
      <c r="B81" s="18" t="n"/>
      <c r="C81" s="19" t="n"/>
      <c r="D81" s="47" t="n"/>
      <c r="E81" s="18" t="n"/>
      <c r="F81" s="18" t="n"/>
    </row>
    <row r="82">
      <c r="B82" s="13" t="n"/>
      <c r="C82" s="14" t="n"/>
      <c r="D82" s="46" t="n"/>
      <c r="E82" s="13" t="n"/>
      <c r="F82" s="13" t="n"/>
    </row>
    <row r="83">
      <c r="B83" s="18" t="n"/>
      <c r="C83" s="19" t="n"/>
      <c r="D83" s="47" t="n"/>
      <c r="E83" s="18" t="n"/>
      <c r="F83" s="18" t="n"/>
    </row>
    <row r="84">
      <c r="B84" s="13" t="n"/>
      <c r="C84" s="14" t="n"/>
      <c r="D84" s="46" t="n"/>
      <c r="E84" s="13" t="n"/>
      <c r="F84" s="13" t="n"/>
    </row>
    <row r="85">
      <c r="B85" s="18" t="n"/>
      <c r="C85" s="19" t="n"/>
      <c r="D85" s="47" t="n"/>
      <c r="E85" s="18" t="n"/>
      <c r="F85" s="18" t="n"/>
    </row>
    <row r="86">
      <c r="B86" s="13" t="n"/>
      <c r="C86" s="14" t="n"/>
      <c r="D86" s="46" t="n"/>
      <c r="E86" s="13" t="n"/>
      <c r="F86" s="13" t="n"/>
    </row>
    <row r="87">
      <c r="B87" s="18" t="n"/>
      <c r="C87" s="19" t="n"/>
      <c r="D87" s="47" t="n"/>
      <c r="E87" s="18" t="n"/>
      <c r="F87" s="18" t="n"/>
    </row>
    <row r="88">
      <c r="B88" s="13" t="n"/>
      <c r="C88" s="14" t="n"/>
      <c r="D88" s="46" t="n"/>
      <c r="E88" s="13" t="n"/>
      <c r="F88" s="13" t="n"/>
    </row>
    <row r="89">
      <c r="B89" s="48" t="inlineStr">
        <is>
          <t>TOTALE USCITE EFFETTIVE</t>
        </is>
      </c>
      <c r="C89" s="49">
        <f>SUMIF(E56:E88,"EFFETTIVA",C56:C88)</f>
        <v/>
      </c>
    </row>
    <row r="90">
      <c r="B90" s="50" t="inlineStr">
        <is>
          <t>TOTALE SPESE PROGRAMMATE</t>
        </is>
      </c>
      <c r="C90" s="51">
        <f>SUMIF(E56:E88,"PROGRAMMATA",C56:C88)</f>
        <v/>
      </c>
    </row>
  </sheetData>
  <mergeCells count="6">
    <mergeCell ref="J3:K3"/>
    <mergeCell ref="B1:H1"/>
    <mergeCell ref="B54:F54"/>
    <mergeCell ref="J19:L19"/>
    <mergeCell ref="B39:D39"/>
    <mergeCell ref="B3:H3"/>
  </mergeCells>
  <dataValidations count="4">
    <dataValidation sqref="E5:E36" showDropDown="0" showInputMessage="0" showErrorMessage="0" allowBlank="1" type="list">
      <formula1>"PAGATO,DA PAGARE,PROGRAMMATO"</formula1>
    </dataValidation>
    <dataValidation sqref="B56:B88" showDropDown="0" showInputMessage="0" showErrorMessage="0" allowBlank="1" type="list">
      <formula1>"BUSINESS,AUTO,VITA,SVAGO,INVESTIMENTO,FORMAZIONE,SALUTE"</formula1>
    </dataValidation>
    <dataValidation sqref="E56:E88" showDropDown="0" showInputMessage="0" showErrorMessage="0" allowBlank="1" type="list">
      <formula1>"EFFETTIVA,PROGRAMMATA"</formula1>
    </dataValidation>
    <dataValidation sqref="J21:J32" showDropDown="0" showInputMessage="0" showErrorMessage="0" allowBlank="1" type="list">
      <formula1>"FONDO EMERGENZA,PENSIONE,VACANZE,FORMAZIONE,INVESTIMENTO PAC,ALTRO"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5276"/>
    <outlinePr summaryBelow="1" summaryRight="1"/>
    <pageSetUpPr/>
  </sheetPr>
  <dimension ref="B1:H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2" customWidth="1" min="4" max="4"/>
    <col width="16" customWidth="1" min="5" max="5"/>
    <col width="12" customWidth="1" min="6" max="6"/>
    <col width="18" customWidth="1" min="7" max="7"/>
    <col width="16" customWidth="1" min="8" max="8"/>
  </cols>
  <sheetData>
    <row r="1" ht="28" customHeight="1">
      <c r="B1" s="52" t="inlineStr">
        <is>
          <t>TRACKING CLIENTI — YTD 2026</t>
        </is>
      </c>
    </row>
    <row r="3">
      <c r="B3" s="11" t="inlineStr">
        <is>
          <t>FATTURATO PER CLIENTE</t>
        </is>
      </c>
      <c r="H3" s="53" t="inlineStr">
        <is>
          <t>TOTALE YTD</t>
        </is>
      </c>
    </row>
    <row r="4">
      <c r="B4" s="12" t="inlineStr">
        <is>
          <t>CLIENTE</t>
        </is>
      </c>
      <c r="C4" s="12" t="inlineStr">
        <is>
          <t>FATTURATO YTD</t>
        </is>
      </c>
      <c r="D4" s="12" t="inlineStr">
        <is>
          <t>N. FATTURE</t>
        </is>
      </c>
      <c r="E4" s="12" t="inlineStr">
        <is>
          <t>MEDIA</t>
        </is>
      </c>
      <c r="F4" s="12" t="inlineStr">
        <is>
          <t>% TOTALE</t>
        </is>
      </c>
      <c r="G4" s="12" t="inlineStr">
        <is>
          <t>ULTIMO MESE</t>
        </is>
      </c>
      <c r="H4" s="54">
        <f>SUMIF(GENNAIO!$E$5:$E$36,"PAGATO",GENNAIO!$C$5:$C$36)+SUMIF(FEBBRAIO!$E$5:$E$36,"PAGATO",FEBBRAIO!$C$5:$C$36)+SUMIF(MARZO!$E$5:$E$36,"PAGATO",MARZO!$C$5:$C$36)+SUMIF(APRILE!$E$5:$E$36,"PAGATO",APRILE!$C$5:$C$36)+SUMIF(MAGGIO!$E$5:$E$36,"PAGATO",MAGGIO!$C$5:$C$36)+SUMIF(GIUGNO!$E$5:$E$36,"PAGATO",GIUGNO!$C$5:$C$36)+SUMIF(LUGLIO!$E$5:$E$36,"PAGATO",LUGLIO!$C$5:$C$36)+SUMIF(AGOSTO!$E$5:$E$36,"PAGATO",AGOSTO!$C$5:$C$36)+SUMIF(SETTEMBRE!$E$5:$E$36,"PAGATO",SETTEMBRE!$C$5:$C$36)+SUMIF(OTTOBRE!$E$5:$E$36,"PAGATO",OTTOBRE!$C$5:$C$36)+SUMIF(NOVEMBRE!$E$5:$E$36,"PAGATO",NOVEMBRE!$C$5:$C$36)+SUMIF(DICEMBRE!$E$5:$E$36,"PAGATO",DICEMBRE!$C$5:$C$36)</f>
        <v/>
      </c>
    </row>
    <row r="5">
      <c r="B5" s="13" t="n"/>
      <c r="C5" s="55">
        <f>SUMIFS(GENNAIO!$C$5:$C$36,GENNAIO!$E$5:$E$36,"PAGATO",GENNAIO!$B$5:$B$36,$B5)+SUMIFS(FEBBRAIO!$C$5:$C$36,FEBBRAIO!$E$5:$E$36,"PAGATO",FEBBRAIO!$B$5:$B$36,$B5)+SUMIFS(MARZO!$C$5:$C$36,MARZO!$E$5:$E$36,"PAGATO",MARZO!$B$5:$B$36,$B5)+SUMIFS(APRILE!$C$5:$C$36,APRILE!$E$5:$E$36,"PAGATO",APRILE!$B$5:$B$36,$B5)+SUMIFS(MAGGIO!$C$5:$C$36,MAGGIO!$E$5:$E$36,"PAGATO",MAGGIO!$B$5:$B$36,$B5)+SUMIFS(GIUGNO!$C$5:$C$36,GIUGNO!$E$5:$E$36,"PAGATO",GIUGNO!$B$5:$B$36,$B5)+SUMIFS(LUGLIO!$C$5:$C$36,LUGLIO!$E$5:$E$36,"PAGATO",LUGLIO!$B$5:$B$36,$B5)+SUMIFS(AGOSTO!$C$5:$C$36,AGOSTO!$E$5:$E$36,"PAGATO",AGOSTO!$B$5:$B$36,$B5)+SUMIFS(SETTEMBRE!$C$5:$C$36,SETTEMBRE!$E$5:$E$36,"PAGATO",SETTEMBRE!$B$5:$B$36,$B5)+SUMIFS(OTTOBRE!$C$5:$C$36,OTTOBRE!$E$5:$E$36,"PAGATO",OTTOBRE!$B$5:$B$36,$B5)+SUMIFS(NOVEMBRE!$C$5:$C$36,NOVEMBRE!$E$5:$E$36,"PAGATO",NOVEMBRE!$B$5:$B$36,$B5)+SUMIFS(DICEMBRE!$C$5:$C$36,DICEMBRE!$E$5:$E$36,"PAGATO",DICEMBRE!$B$5:$B$36,$B5)</f>
        <v/>
      </c>
      <c r="D5" s="56">
        <f>COUNTIFS(GENNAIO!$E$5:$E$36,"PAGATO",GENNAIO!$B$5:$B$36,$B5)+COUNTIFS(FEBBRAIO!$E$5:$E$36,"PAGATO",FEBBRAIO!$B$5:$B$36,$B5)+COUNTIFS(MARZO!$E$5:$E$36,"PAGATO",MARZO!$B$5:$B$36,$B5)+COUNTIFS(APRILE!$E$5:$E$36,"PAGATO",APRILE!$B$5:$B$36,$B5)+COUNTIFS(MAGGIO!$E$5:$E$36,"PAGATO",MAGGIO!$B$5:$B$36,$B5)+COUNTIFS(GIUGNO!$E$5:$E$36,"PAGATO",GIUGNO!$B$5:$B$36,$B5)+COUNTIFS(LUGLIO!$E$5:$E$36,"PAGATO",LUGLIO!$B$5:$B$36,$B5)+COUNTIFS(AGOSTO!$E$5:$E$36,"PAGATO",AGOSTO!$B$5:$B$36,$B5)+COUNTIFS(SETTEMBRE!$E$5:$E$36,"PAGATO",SETTEMBRE!$B$5:$B$36,$B5)+COUNTIFS(OTTOBRE!$E$5:$E$36,"PAGATO",OTTOBRE!$B$5:$B$36,$B5)+COUNTIFS(NOVEMBRE!$E$5:$E$36,"PAGATO",NOVEMBRE!$B$5:$B$36,$B5)+COUNTIFS(DICEMBRE!$E$5:$E$36,"PAGATO",DICEMBRE!$B$5:$B$36,$B5)</f>
        <v/>
      </c>
      <c r="E5" s="55">
        <f>IFERROR(C5/D5,0)</f>
        <v/>
      </c>
      <c r="F5" s="57">
        <f>IFERROR(C5/H$4,0)</f>
        <v/>
      </c>
      <c r="G5" s="58" t="inlineStr">
        <is>
          <t>inserire manuale</t>
        </is>
      </c>
    </row>
    <row r="6">
      <c r="B6" s="18" t="n"/>
      <c r="C6" s="59">
        <f>SUMIFS(GENNAIO!$C$5:$C$36,GENNAIO!$E$5:$E$36,"PAGATO",GENNAIO!$B$5:$B$36,$B6)+SUMIFS(FEBBRAIO!$C$5:$C$36,FEBBRAIO!$E$5:$E$36,"PAGATO",FEBBRAIO!$B$5:$B$36,$B6)+SUMIFS(MARZO!$C$5:$C$36,MARZO!$E$5:$E$36,"PAGATO",MARZO!$B$5:$B$36,$B6)+SUMIFS(APRILE!$C$5:$C$36,APRILE!$E$5:$E$36,"PAGATO",APRILE!$B$5:$B$36,$B6)+SUMIFS(MAGGIO!$C$5:$C$36,MAGGIO!$E$5:$E$36,"PAGATO",MAGGIO!$B$5:$B$36,$B6)+SUMIFS(GIUGNO!$C$5:$C$36,GIUGNO!$E$5:$E$36,"PAGATO",GIUGNO!$B$5:$B$36,$B6)+SUMIFS(LUGLIO!$C$5:$C$36,LUGLIO!$E$5:$E$36,"PAGATO",LUGLIO!$B$5:$B$36,$B6)+SUMIFS(AGOSTO!$C$5:$C$36,AGOSTO!$E$5:$E$36,"PAGATO",AGOSTO!$B$5:$B$36,$B6)+SUMIFS(SETTEMBRE!$C$5:$C$36,SETTEMBRE!$E$5:$E$36,"PAGATO",SETTEMBRE!$B$5:$B$36,$B6)+SUMIFS(OTTOBRE!$C$5:$C$36,OTTOBRE!$E$5:$E$36,"PAGATO",OTTOBRE!$B$5:$B$36,$B6)+SUMIFS(NOVEMBRE!$C$5:$C$36,NOVEMBRE!$E$5:$E$36,"PAGATO",NOVEMBRE!$B$5:$B$36,$B6)+SUMIFS(DICEMBRE!$C$5:$C$36,DICEMBRE!$E$5:$E$36,"PAGATO",DICEMBRE!$B$5:$B$36,$B6)</f>
        <v/>
      </c>
      <c r="D6" s="60">
        <f>COUNTIFS(GENNAIO!$E$5:$E$36,"PAGATO",GENNAIO!$B$5:$B$36,$B6)+COUNTIFS(FEBBRAIO!$E$5:$E$36,"PAGATO",FEBBRAIO!$B$5:$B$36,$B6)+COUNTIFS(MARZO!$E$5:$E$36,"PAGATO",MARZO!$B$5:$B$36,$B6)+COUNTIFS(APRILE!$E$5:$E$36,"PAGATO",APRILE!$B$5:$B$36,$B6)+COUNTIFS(MAGGIO!$E$5:$E$36,"PAGATO",MAGGIO!$B$5:$B$36,$B6)+COUNTIFS(GIUGNO!$E$5:$E$36,"PAGATO",GIUGNO!$B$5:$B$36,$B6)+COUNTIFS(LUGLIO!$E$5:$E$36,"PAGATO",LUGLIO!$B$5:$B$36,$B6)+COUNTIFS(AGOSTO!$E$5:$E$36,"PAGATO",AGOSTO!$B$5:$B$36,$B6)+COUNTIFS(SETTEMBRE!$E$5:$E$36,"PAGATO",SETTEMBRE!$B$5:$B$36,$B6)+COUNTIFS(OTTOBRE!$E$5:$E$36,"PAGATO",OTTOBRE!$B$5:$B$36,$B6)+COUNTIFS(NOVEMBRE!$E$5:$E$36,"PAGATO",NOVEMBRE!$B$5:$B$36,$B6)+COUNTIFS(DICEMBRE!$E$5:$E$36,"PAGATO",DICEMBRE!$B$5:$B$36,$B6)</f>
        <v/>
      </c>
      <c r="E6" s="59">
        <f>IFERROR(C6/D6,0)</f>
        <v/>
      </c>
      <c r="F6" s="61">
        <f>IFERROR(C6/H$4,0)</f>
        <v/>
      </c>
      <c r="G6" s="62" t="inlineStr">
        <is>
          <t>inserire manuale</t>
        </is>
      </c>
    </row>
    <row r="7">
      <c r="B7" s="13" t="n"/>
      <c r="C7" s="55">
        <f>SUMIFS(GENNAIO!$C$5:$C$36,GENNAIO!$E$5:$E$36,"PAGATO",GENNAIO!$B$5:$B$36,$B7)+SUMIFS(FEBBRAIO!$C$5:$C$36,FEBBRAIO!$E$5:$E$36,"PAGATO",FEBBRAIO!$B$5:$B$36,$B7)+SUMIFS(MARZO!$C$5:$C$36,MARZO!$E$5:$E$36,"PAGATO",MARZO!$B$5:$B$36,$B7)+SUMIFS(APRILE!$C$5:$C$36,APRILE!$E$5:$E$36,"PAGATO",APRILE!$B$5:$B$36,$B7)+SUMIFS(MAGGIO!$C$5:$C$36,MAGGIO!$E$5:$E$36,"PAGATO",MAGGIO!$B$5:$B$36,$B7)+SUMIFS(GIUGNO!$C$5:$C$36,GIUGNO!$E$5:$E$36,"PAGATO",GIUGNO!$B$5:$B$36,$B7)+SUMIFS(LUGLIO!$C$5:$C$36,LUGLIO!$E$5:$E$36,"PAGATO",LUGLIO!$B$5:$B$36,$B7)+SUMIFS(AGOSTO!$C$5:$C$36,AGOSTO!$E$5:$E$36,"PAGATO",AGOSTO!$B$5:$B$36,$B7)+SUMIFS(SETTEMBRE!$C$5:$C$36,SETTEMBRE!$E$5:$E$36,"PAGATO",SETTEMBRE!$B$5:$B$36,$B7)+SUMIFS(OTTOBRE!$C$5:$C$36,OTTOBRE!$E$5:$E$36,"PAGATO",OTTOBRE!$B$5:$B$36,$B7)+SUMIFS(NOVEMBRE!$C$5:$C$36,NOVEMBRE!$E$5:$E$36,"PAGATO",NOVEMBRE!$B$5:$B$36,$B7)+SUMIFS(DICEMBRE!$C$5:$C$36,DICEMBRE!$E$5:$E$36,"PAGATO",DICEMBRE!$B$5:$B$36,$B7)</f>
        <v/>
      </c>
      <c r="D7" s="56">
        <f>COUNTIFS(GENNAIO!$E$5:$E$36,"PAGATO",GENNAIO!$B$5:$B$36,$B7)+COUNTIFS(FEBBRAIO!$E$5:$E$36,"PAGATO",FEBBRAIO!$B$5:$B$36,$B7)+COUNTIFS(MARZO!$E$5:$E$36,"PAGATO",MARZO!$B$5:$B$36,$B7)+COUNTIFS(APRILE!$E$5:$E$36,"PAGATO",APRILE!$B$5:$B$36,$B7)+COUNTIFS(MAGGIO!$E$5:$E$36,"PAGATO",MAGGIO!$B$5:$B$36,$B7)+COUNTIFS(GIUGNO!$E$5:$E$36,"PAGATO",GIUGNO!$B$5:$B$36,$B7)+COUNTIFS(LUGLIO!$E$5:$E$36,"PAGATO",LUGLIO!$B$5:$B$36,$B7)+COUNTIFS(AGOSTO!$E$5:$E$36,"PAGATO",AGOSTO!$B$5:$B$36,$B7)+COUNTIFS(SETTEMBRE!$E$5:$E$36,"PAGATO",SETTEMBRE!$B$5:$B$36,$B7)+COUNTIFS(OTTOBRE!$E$5:$E$36,"PAGATO",OTTOBRE!$B$5:$B$36,$B7)+COUNTIFS(NOVEMBRE!$E$5:$E$36,"PAGATO",NOVEMBRE!$B$5:$B$36,$B7)+COUNTIFS(DICEMBRE!$E$5:$E$36,"PAGATO",DICEMBRE!$B$5:$B$36,$B7)</f>
        <v/>
      </c>
      <c r="E7" s="55">
        <f>IFERROR(C7/D7,0)</f>
        <v/>
      </c>
      <c r="F7" s="57">
        <f>IFERROR(C7/H$4,0)</f>
        <v/>
      </c>
      <c r="G7" s="58" t="inlineStr">
        <is>
          <t>inserire manuale</t>
        </is>
      </c>
    </row>
    <row r="8">
      <c r="B8" s="18" t="n"/>
      <c r="C8" s="59">
        <f>SUMIFS(GENNAIO!$C$5:$C$36,GENNAIO!$E$5:$E$36,"PAGATO",GENNAIO!$B$5:$B$36,$B8)+SUMIFS(FEBBRAIO!$C$5:$C$36,FEBBRAIO!$E$5:$E$36,"PAGATO",FEBBRAIO!$B$5:$B$36,$B8)+SUMIFS(MARZO!$C$5:$C$36,MARZO!$E$5:$E$36,"PAGATO",MARZO!$B$5:$B$36,$B8)+SUMIFS(APRILE!$C$5:$C$36,APRILE!$E$5:$E$36,"PAGATO",APRILE!$B$5:$B$36,$B8)+SUMIFS(MAGGIO!$C$5:$C$36,MAGGIO!$E$5:$E$36,"PAGATO",MAGGIO!$B$5:$B$36,$B8)+SUMIFS(GIUGNO!$C$5:$C$36,GIUGNO!$E$5:$E$36,"PAGATO",GIUGNO!$B$5:$B$36,$B8)+SUMIFS(LUGLIO!$C$5:$C$36,LUGLIO!$E$5:$E$36,"PAGATO",LUGLIO!$B$5:$B$36,$B8)+SUMIFS(AGOSTO!$C$5:$C$36,AGOSTO!$E$5:$E$36,"PAGATO",AGOSTO!$B$5:$B$36,$B8)+SUMIFS(SETTEMBRE!$C$5:$C$36,SETTEMBRE!$E$5:$E$36,"PAGATO",SETTEMBRE!$B$5:$B$36,$B8)+SUMIFS(OTTOBRE!$C$5:$C$36,OTTOBRE!$E$5:$E$36,"PAGATO",OTTOBRE!$B$5:$B$36,$B8)+SUMIFS(NOVEMBRE!$C$5:$C$36,NOVEMBRE!$E$5:$E$36,"PAGATO",NOVEMBRE!$B$5:$B$36,$B8)+SUMIFS(DICEMBRE!$C$5:$C$36,DICEMBRE!$E$5:$E$36,"PAGATO",DICEMBRE!$B$5:$B$36,$B8)</f>
        <v/>
      </c>
      <c r="D8" s="60">
        <f>COUNTIFS(GENNAIO!$E$5:$E$36,"PAGATO",GENNAIO!$B$5:$B$36,$B8)+COUNTIFS(FEBBRAIO!$E$5:$E$36,"PAGATO",FEBBRAIO!$B$5:$B$36,$B8)+COUNTIFS(MARZO!$E$5:$E$36,"PAGATO",MARZO!$B$5:$B$36,$B8)+COUNTIFS(APRILE!$E$5:$E$36,"PAGATO",APRILE!$B$5:$B$36,$B8)+COUNTIFS(MAGGIO!$E$5:$E$36,"PAGATO",MAGGIO!$B$5:$B$36,$B8)+COUNTIFS(GIUGNO!$E$5:$E$36,"PAGATO",GIUGNO!$B$5:$B$36,$B8)+COUNTIFS(LUGLIO!$E$5:$E$36,"PAGATO",LUGLIO!$B$5:$B$36,$B8)+COUNTIFS(AGOSTO!$E$5:$E$36,"PAGATO",AGOSTO!$B$5:$B$36,$B8)+COUNTIFS(SETTEMBRE!$E$5:$E$36,"PAGATO",SETTEMBRE!$B$5:$B$36,$B8)+COUNTIFS(OTTOBRE!$E$5:$E$36,"PAGATO",OTTOBRE!$B$5:$B$36,$B8)+COUNTIFS(NOVEMBRE!$E$5:$E$36,"PAGATO",NOVEMBRE!$B$5:$B$36,$B8)+COUNTIFS(DICEMBRE!$E$5:$E$36,"PAGATO",DICEMBRE!$B$5:$B$36,$B8)</f>
        <v/>
      </c>
      <c r="E8" s="59">
        <f>IFERROR(C8/D8,0)</f>
        <v/>
      </c>
      <c r="F8" s="61">
        <f>IFERROR(C8/H$4,0)</f>
        <v/>
      </c>
      <c r="G8" s="62" t="inlineStr">
        <is>
          <t>inserire manuale</t>
        </is>
      </c>
    </row>
    <row r="9">
      <c r="B9" s="13" t="n"/>
      <c r="C9" s="55">
        <f>SUMIFS(GENNAIO!$C$5:$C$36,GENNAIO!$E$5:$E$36,"PAGATO",GENNAIO!$B$5:$B$36,$B9)+SUMIFS(FEBBRAIO!$C$5:$C$36,FEBBRAIO!$E$5:$E$36,"PAGATO",FEBBRAIO!$B$5:$B$36,$B9)+SUMIFS(MARZO!$C$5:$C$36,MARZO!$E$5:$E$36,"PAGATO",MARZO!$B$5:$B$36,$B9)+SUMIFS(APRILE!$C$5:$C$36,APRILE!$E$5:$E$36,"PAGATO",APRILE!$B$5:$B$36,$B9)+SUMIFS(MAGGIO!$C$5:$C$36,MAGGIO!$E$5:$E$36,"PAGATO",MAGGIO!$B$5:$B$36,$B9)+SUMIFS(GIUGNO!$C$5:$C$36,GIUGNO!$E$5:$E$36,"PAGATO",GIUGNO!$B$5:$B$36,$B9)+SUMIFS(LUGLIO!$C$5:$C$36,LUGLIO!$E$5:$E$36,"PAGATO",LUGLIO!$B$5:$B$36,$B9)+SUMIFS(AGOSTO!$C$5:$C$36,AGOSTO!$E$5:$E$36,"PAGATO",AGOSTO!$B$5:$B$36,$B9)+SUMIFS(SETTEMBRE!$C$5:$C$36,SETTEMBRE!$E$5:$E$36,"PAGATO",SETTEMBRE!$B$5:$B$36,$B9)+SUMIFS(OTTOBRE!$C$5:$C$36,OTTOBRE!$E$5:$E$36,"PAGATO",OTTOBRE!$B$5:$B$36,$B9)+SUMIFS(NOVEMBRE!$C$5:$C$36,NOVEMBRE!$E$5:$E$36,"PAGATO",NOVEMBRE!$B$5:$B$36,$B9)+SUMIFS(DICEMBRE!$C$5:$C$36,DICEMBRE!$E$5:$E$36,"PAGATO",DICEMBRE!$B$5:$B$36,$B9)</f>
        <v/>
      </c>
      <c r="D9" s="56">
        <f>COUNTIFS(GENNAIO!$E$5:$E$36,"PAGATO",GENNAIO!$B$5:$B$36,$B9)+COUNTIFS(FEBBRAIO!$E$5:$E$36,"PAGATO",FEBBRAIO!$B$5:$B$36,$B9)+COUNTIFS(MARZO!$E$5:$E$36,"PAGATO",MARZO!$B$5:$B$36,$B9)+COUNTIFS(APRILE!$E$5:$E$36,"PAGATO",APRILE!$B$5:$B$36,$B9)+COUNTIFS(MAGGIO!$E$5:$E$36,"PAGATO",MAGGIO!$B$5:$B$36,$B9)+COUNTIFS(GIUGNO!$E$5:$E$36,"PAGATO",GIUGNO!$B$5:$B$36,$B9)+COUNTIFS(LUGLIO!$E$5:$E$36,"PAGATO",LUGLIO!$B$5:$B$36,$B9)+COUNTIFS(AGOSTO!$E$5:$E$36,"PAGATO",AGOSTO!$B$5:$B$36,$B9)+COUNTIFS(SETTEMBRE!$E$5:$E$36,"PAGATO",SETTEMBRE!$B$5:$B$36,$B9)+COUNTIFS(OTTOBRE!$E$5:$E$36,"PAGATO",OTTOBRE!$B$5:$B$36,$B9)+COUNTIFS(NOVEMBRE!$E$5:$E$36,"PAGATO",NOVEMBRE!$B$5:$B$36,$B9)+COUNTIFS(DICEMBRE!$E$5:$E$36,"PAGATO",DICEMBRE!$B$5:$B$36,$B9)</f>
        <v/>
      </c>
      <c r="E9" s="55">
        <f>IFERROR(C9/D9,0)</f>
        <v/>
      </c>
      <c r="F9" s="57">
        <f>IFERROR(C9/H$4,0)</f>
        <v/>
      </c>
      <c r="G9" s="58" t="inlineStr">
        <is>
          <t>inserire manuale</t>
        </is>
      </c>
    </row>
    <row r="10">
      <c r="B10" s="18" t="n"/>
      <c r="C10" s="59">
        <f>SUMIFS(GENNAIO!$C$5:$C$36,GENNAIO!$E$5:$E$36,"PAGATO",GENNAIO!$B$5:$B$36,$B10)+SUMIFS(FEBBRAIO!$C$5:$C$36,FEBBRAIO!$E$5:$E$36,"PAGATO",FEBBRAIO!$B$5:$B$36,$B10)+SUMIFS(MARZO!$C$5:$C$36,MARZO!$E$5:$E$36,"PAGATO",MARZO!$B$5:$B$36,$B10)+SUMIFS(APRILE!$C$5:$C$36,APRILE!$E$5:$E$36,"PAGATO",APRILE!$B$5:$B$36,$B10)+SUMIFS(MAGGIO!$C$5:$C$36,MAGGIO!$E$5:$E$36,"PAGATO",MAGGIO!$B$5:$B$36,$B10)+SUMIFS(GIUGNO!$C$5:$C$36,GIUGNO!$E$5:$E$36,"PAGATO",GIUGNO!$B$5:$B$36,$B10)+SUMIFS(LUGLIO!$C$5:$C$36,LUGLIO!$E$5:$E$36,"PAGATO",LUGLIO!$B$5:$B$36,$B10)+SUMIFS(AGOSTO!$C$5:$C$36,AGOSTO!$E$5:$E$36,"PAGATO",AGOSTO!$B$5:$B$36,$B10)+SUMIFS(SETTEMBRE!$C$5:$C$36,SETTEMBRE!$E$5:$E$36,"PAGATO",SETTEMBRE!$B$5:$B$36,$B10)+SUMIFS(OTTOBRE!$C$5:$C$36,OTTOBRE!$E$5:$E$36,"PAGATO",OTTOBRE!$B$5:$B$36,$B10)+SUMIFS(NOVEMBRE!$C$5:$C$36,NOVEMBRE!$E$5:$E$36,"PAGATO",NOVEMBRE!$B$5:$B$36,$B10)+SUMIFS(DICEMBRE!$C$5:$C$36,DICEMBRE!$E$5:$E$36,"PAGATO",DICEMBRE!$B$5:$B$36,$B10)</f>
        <v/>
      </c>
      <c r="D10" s="60">
        <f>COUNTIFS(GENNAIO!$E$5:$E$36,"PAGATO",GENNAIO!$B$5:$B$36,$B10)+COUNTIFS(FEBBRAIO!$E$5:$E$36,"PAGATO",FEBBRAIO!$B$5:$B$36,$B10)+COUNTIFS(MARZO!$E$5:$E$36,"PAGATO",MARZO!$B$5:$B$36,$B10)+COUNTIFS(APRILE!$E$5:$E$36,"PAGATO",APRILE!$B$5:$B$36,$B10)+COUNTIFS(MAGGIO!$E$5:$E$36,"PAGATO",MAGGIO!$B$5:$B$36,$B10)+COUNTIFS(GIUGNO!$E$5:$E$36,"PAGATO",GIUGNO!$B$5:$B$36,$B10)+COUNTIFS(LUGLIO!$E$5:$E$36,"PAGATO",LUGLIO!$B$5:$B$36,$B10)+COUNTIFS(AGOSTO!$E$5:$E$36,"PAGATO",AGOSTO!$B$5:$B$36,$B10)+COUNTIFS(SETTEMBRE!$E$5:$E$36,"PAGATO",SETTEMBRE!$B$5:$B$36,$B10)+COUNTIFS(OTTOBRE!$E$5:$E$36,"PAGATO",OTTOBRE!$B$5:$B$36,$B10)+COUNTIFS(NOVEMBRE!$E$5:$E$36,"PAGATO",NOVEMBRE!$B$5:$B$36,$B10)+COUNTIFS(DICEMBRE!$E$5:$E$36,"PAGATO",DICEMBRE!$B$5:$B$36,$B10)</f>
        <v/>
      </c>
      <c r="E10" s="59">
        <f>IFERROR(C10/D10,0)</f>
        <v/>
      </c>
      <c r="F10" s="61">
        <f>IFERROR(C10/H$4,0)</f>
        <v/>
      </c>
      <c r="G10" s="62" t="inlineStr">
        <is>
          <t>inserire manuale</t>
        </is>
      </c>
    </row>
    <row r="11">
      <c r="B11" s="13" t="n"/>
      <c r="C11" s="55">
        <f>SUMIFS(GENNAIO!$C$5:$C$36,GENNAIO!$E$5:$E$36,"PAGATO",GENNAIO!$B$5:$B$36,$B11)+SUMIFS(FEBBRAIO!$C$5:$C$36,FEBBRAIO!$E$5:$E$36,"PAGATO",FEBBRAIO!$B$5:$B$36,$B11)+SUMIFS(MARZO!$C$5:$C$36,MARZO!$E$5:$E$36,"PAGATO",MARZO!$B$5:$B$36,$B11)+SUMIFS(APRILE!$C$5:$C$36,APRILE!$E$5:$E$36,"PAGATO",APRILE!$B$5:$B$36,$B11)+SUMIFS(MAGGIO!$C$5:$C$36,MAGGIO!$E$5:$E$36,"PAGATO",MAGGIO!$B$5:$B$36,$B11)+SUMIFS(GIUGNO!$C$5:$C$36,GIUGNO!$E$5:$E$36,"PAGATO",GIUGNO!$B$5:$B$36,$B11)+SUMIFS(LUGLIO!$C$5:$C$36,LUGLIO!$E$5:$E$36,"PAGATO",LUGLIO!$B$5:$B$36,$B11)+SUMIFS(AGOSTO!$C$5:$C$36,AGOSTO!$E$5:$E$36,"PAGATO",AGOSTO!$B$5:$B$36,$B11)+SUMIFS(SETTEMBRE!$C$5:$C$36,SETTEMBRE!$E$5:$E$36,"PAGATO",SETTEMBRE!$B$5:$B$36,$B11)+SUMIFS(OTTOBRE!$C$5:$C$36,OTTOBRE!$E$5:$E$36,"PAGATO",OTTOBRE!$B$5:$B$36,$B11)+SUMIFS(NOVEMBRE!$C$5:$C$36,NOVEMBRE!$E$5:$E$36,"PAGATO",NOVEMBRE!$B$5:$B$36,$B11)+SUMIFS(DICEMBRE!$C$5:$C$36,DICEMBRE!$E$5:$E$36,"PAGATO",DICEMBRE!$B$5:$B$36,$B11)</f>
        <v/>
      </c>
      <c r="D11" s="56">
        <f>COUNTIFS(GENNAIO!$E$5:$E$36,"PAGATO",GENNAIO!$B$5:$B$36,$B11)+COUNTIFS(FEBBRAIO!$E$5:$E$36,"PAGATO",FEBBRAIO!$B$5:$B$36,$B11)+COUNTIFS(MARZO!$E$5:$E$36,"PAGATO",MARZO!$B$5:$B$36,$B11)+COUNTIFS(APRILE!$E$5:$E$36,"PAGATO",APRILE!$B$5:$B$36,$B11)+COUNTIFS(MAGGIO!$E$5:$E$36,"PAGATO",MAGGIO!$B$5:$B$36,$B11)+COUNTIFS(GIUGNO!$E$5:$E$36,"PAGATO",GIUGNO!$B$5:$B$36,$B11)+COUNTIFS(LUGLIO!$E$5:$E$36,"PAGATO",LUGLIO!$B$5:$B$36,$B11)+COUNTIFS(AGOSTO!$E$5:$E$36,"PAGATO",AGOSTO!$B$5:$B$36,$B11)+COUNTIFS(SETTEMBRE!$E$5:$E$36,"PAGATO",SETTEMBRE!$B$5:$B$36,$B11)+COUNTIFS(OTTOBRE!$E$5:$E$36,"PAGATO",OTTOBRE!$B$5:$B$36,$B11)+COUNTIFS(NOVEMBRE!$E$5:$E$36,"PAGATO",NOVEMBRE!$B$5:$B$36,$B11)+COUNTIFS(DICEMBRE!$E$5:$E$36,"PAGATO",DICEMBRE!$B$5:$B$36,$B11)</f>
        <v/>
      </c>
      <c r="E11" s="55">
        <f>IFERROR(C11/D11,0)</f>
        <v/>
      </c>
      <c r="F11" s="57">
        <f>IFERROR(C11/H$4,0)</f>
        <v/>
      </c>
      <c r="G11" s="58" t="inlineStr">
        <is>
          <t>inserire manuale</t>
        </is>
      </c>
    </row>
    <row r="12">
      <c r="B12" s="18" t="n"/>
      <c r="C12" s="59">
        <f>SUMIFS(GENNAIO!$C$5:$C$36,GENNAIO!$E$5:$E$36,"PAGATO",GENNAIO!$B$5:$B$36,$B12)+SUMIFS(FEBBRAIO!$C$5:$C$36,FEBBRAIO!$E$5:$E$36,"PAGATO",FEBBRAIO!$B$5:$B$36,$B12)+SUMIFS(MARZO!$C$5:$C$36,MARZO!$E$5:$E$36,"PAGATO",MARZO!$B$5:$B$36,$B12)+SUMIFS(APRILE!$C$5:$C$36,APRILE!$E$5:$E$36,"PAGATO",APRILE!$B$5:$B$36,$B12)+SUMIFS(MAGGIO!$C$5:$C$36,MAGGIO!$E$5:$E$36,"PAGATO",MAGGIO!$B$5:$B$36,$B12)+SUMIFS(GIUGNO!$C$5:$C$36,GIUGNO!$E$5:$E$36,"PAGATO",GIUGNO!$B$5:$B$36,$B12)+SUMIFS(LUGLIO!$C$5:$C$36,LUGLIO!$E$5:$E$36,"PAGATO",LUGLIO!$B$5:$B$36,$B12)+SUMIFS(AGOSTO!$C$5:$C$36,AGOSTO!$E$5:$E$36,"PAGATO",AGOSTO!$B$5:$B$36,$B12)+SUMIFS(SETTEMBRE!$C$5:$C$36,SETTEMBRE!$E$5:$E$36,"PAGATO",SETTEMBRE!$B$5:$B$36,$B12)+SUMIFS(OTTOBRE!$C$5:$C$36,OTTOBRE!$E$5:$E$36,"PAGATO",OTTOBRE!$B$5:$B$36,$B12)+SUMIFS(NOVEMBRE!$C$5:$C$36,NOVEMBRE!$E$5:$E$36,"PAGATO",NOVEMBRE!$B$5:$B$36,$B12)+SUMIFS(DICEMBRE!$C$5:$C$36,DICEMBRE!$E$5:$E$36,"PAGATO",DICEMBRE!$B$5:$B$36,$B12)</f>
        <v/>
      </c>
      <c r="D12" s="60">
        <f>COUNTIFS(GENNAIO!$E$5:$E$36,"PAGATO",GENNAIO!$B$5:$B$36,$B12)+COUNTIFS(FEBBRAIO!$E$5:$E$36,"PAGATO",FEBBRAIO!$B$5:$B$36,$B12)+COUNTIFS(MARZO!$E$5:$E$36,"PAGATO",MARZO!$B$5:$B$36,$B12)+COUNTIFS(APRILE!$E$5:$E$36,"PAGATO",APRILE!$B$5:$B$36,$B12)+COUNTIFS(MAGGIO!$E$5:$E$36,"PAGATO",MAGGIO!$B$5:$B$36,$B12)+COUNTIFS(GIUGNO!$E$5:$E$36,"PAGATO",GIUGNO!$B$5:$B$36,$B12)+COUNTIFS(LUGLIO!$E$5:$E$36,"PAGATO",LUGLIO!$B$5:$B$36,$B12)+COUNTIFS(AGOSTO!$E$5:$E$36,"PAGATO",AGOSTO!$B$5:$B$36,$B12)+COUNTIFS(SETTEMBRE!$E$5:$E$36,"PAGATO",SETTEMBRE!$B$5:$B$36,$B12)+COUNTIFS(OTTOBRE!$E$5:$E$36,"PAGATO",OTTOBRE!$B$5:$B$36,$B12)+COUNTIFS(NOVEMBRE!$E$5:$E$36,"PAGATO",NOVEMBRE!$B$5:$B$36,$B12)+COUNTIFS(DICEMBRE!$E$5:$E$36,"PAGATO",DICEMBRE!$B$5:$B$36,$B12)</f>
        <v/>
      </c>
      <c r="E12" s="59">
        <f>IFERROR(C12/D12,0)</f>
        <v/>
      </c>
      <c r="F12" s="61">
        <f>IFERROR(C12/H$4,0)</f>
        <v/>
      </c>
      <c r="G12" s="62" t="inlineStr">
        <is>
          <t>inserire manuale</t>
        </is>
      </c>
    </row>
    <row r="13">
      <c r="B13" s="13" t="n"/>
      <c r="C13" s="55">
        <f>SUMIFS(GENNAIO!$C$5:$C$36,GENNAIO!$E$5:$E$36,"PAGATO",GENNAIO!$B$5:$B$36,$B13)+SUMIFS(FEBBRAIO!$C$5:$C$36,FEBBRAIO!$E$5:$E$36,"PAGATO",FEBBRAIO!$B$5:$B$36,$B13)+SUMIFS(MARZO!$C$5:$C$36,MARZO!$E$5:$E$36,"PAGATO",MARZO!$B$5:$B$36,$B13)+SUMIFS(APRILE!$C$5:$C$36,APRILE!$E$5:$E$36,"PAGATO",APRILE!$B$5:$B$36,$B13)+SUMIFS(MAGGIO!$C$5:$C$36,MAGGIO!$E$5:$E$36,"PAGATO",MAGGIO!$B$5:$B$36,$B13)+SUMIFS(GIUGNO!$C$5:$C$36,GIUGNO!$E$5:$E$36,"PAGATO",GIUGNO!$B$5:$B$36,$B13)+SUMIFS(LUGLIO!$C$5:$C$36,LUGLIO!$E$5:$E$36,"PAGATO",LUGLIO!$B$5:$B$36,$B13)+SUMIFS(AGOSTO!$C$5:$C$36,AGOSTO!$E$5:$E$36,"PAGATO",AGOSTO!$B$5:$B$36,$B13)+SUMIFS(SETTEMBRE!$C$5:$C$36,SETTEMBRE!$E$5:$E$36,"PAGATO",SETTEMBRE!$B$5:$B$36,$B13)+SUMIFS(OTTOBRE!$C$5:$C$36,OTTOBRE!$E$5:$E$36,"PAGATO",OTTOBRE!$B$5:$B$36,$B13)+SUMIFS(NOVEMBRE!$C$5:$C$36,NOVEMBRE!$E$5:$E$36,"PAGATO",NOVEMBRE!$B$5:$B$36,$B13)+SUMIFS(DICEMBRE!$C$5:$C$36,DICEMBRE!$E$5:$E$36,"PAGATO",DICEMBRE!$B$5:$B$36,$B13)</f>
        <v/>
      </c>
      <c r="D13" s="56">
        <f>COUNTIFS(GENNAIO!$E$5:$E$36,"PAGATO",GENNAIO!$B$5:$B$36,$B13)+COUNTIFS(FEBBRAIO!$E$5:$E$36,"PAGATO",FEBBRAIO!$B$5:$B$36,$B13)+COUNTIFS(MARZO!$E$5:$E$36,"PAGATO",MARZO!$B$5:$B$36,$B13)+COUNTIFS(APRILE!$E$5:$E$36,"PAGATO",APRILE!$B$5:$B$36,$B13)+COUNTIFS(MAGGIO!$E$5:$E$36,"PAGATO",MAGGIO!$B$5:$B$36,$B13)+COUNTIFS(GIUGNO!$E$5:$E$36,"PAGATO",GIUGNO!$B$5:$B$36,$B13)+COUNTIFS(LUGLIO!$E$5:$E$36,"PAGATO",LUGLIO!$B$5:$B$36,$B13)+COUNTIFS(AGOSTO!$E$5:$E$36,"PAGATO",AGOSTO!$B$5:$B$36,$B13)+COUNTIFS(SETTEMBRE!$E$5:$E$36,"PAGATO",SETTEMBRE!$B$5:$B$36,$B13)+COUNTIFS(OTTOBRE!$E$5:$E$36,"PAGATO",OTTOBRE!$B$5:$B$36,$B13)+COUNTIFS(NOVEMBRE!$E$5:$E$36,"PAGATO",NOVEMBRE!$B$5:$B$36,$B13)+COUNTIFS(DICEMBRE!$E$5:$E$36,"PAGATO",DICEMBRE!$B$5:$B$36,$B13)</f>
        <v/>
      </c>
      <c r="E13" s="55">
        <f>IFERROR(C13/D13,0)</f>
        <v/>
      </c>
      <c r="F13" s="57">
        <f>IFERROR(C13/H$4,0)</f>
        <v/>
      </c>
      <c r="G13" s="58" t="inlineStr">
        <is>
          <t>inserire manuale</t>
        </is>
      </c>
    </row>
    <row r="14">
      <c r="B14" s="18" t="n"/>
      <c r="C14" s="59">
        <f>SUMIFS(GENNAIO!$C$5:$C$36,GENNAIO!$E$5:$E$36,"PAGATO",GENNAIO!$B$5:$B$36,$B14)+SUMIFS(FEBBRAIO!$C$5:$C$36,FEBBRAIO!$E$5:$E$36,"PAGATO",FEBBRAIO!$B$5:$B$36,$B14)+SUMIFS(MARZO!$C$5:$C$36,MARZO!$E$5:$E$36,"PAGATO",MARZO!$B$5:$B$36,$B14)+SUMIFS(APRILE!$C$5:$C$36,APRILE!$E$5:$E$36,"PAGATO",APRILE!$B$5:$B$36,$B14)+SUMIFS(MAGGIO!$C$5:$C$36,MAGGIO!$E$5:$E$36,"PAGATO",MAGGIO!$B$5:$B$36,$B14)+SUMIFS(GIUGNO!$C$5:$C$36,GIUGNO!$E$5:$E$36,"PAGATO",GIUGNO!$B$5:$B$36,$B14)+SUMIFS(LUGLIO!$C$5:$C$36,LUGLIO!$E$5:$E$36,"PAGATO",LUGLIO!$B$5:$B$36,$B14)+SUMIFS(AGOSTO!$C$5:$C$36,AGOSTO!$E$5:$E$36,"PAGATO",AGOSTO!$B$5:$B$36,$B14)+SUMIFS(SETTEMBRE!$C$5:$C$36,SETTEMBRE!$E$5:$E$36,"PAGATO",SETTEMBRE!$B$5:$B$36,$B14)+SUMIFS(OTTOBRE!$C$5:$C$36,OTTOBRE!$E$5:$E$36,"PAGATO",OTTOBRE!$B$5:$B$36,$B14)+SUMIFS(NOVEMBRE!$C$5:$C$36,NOVEMBRE!$E$5:$E$36,"PAGATO",NOVEMBRE!$B$5:$B$36,$B14)+SUMIFS(DICEMBRE!$C$5:$C$36,DICEMBRE!$E$5:$E$36,"PAGATO",DICEMBRE!$B$5:$B$36,$B14)</f>
        <v/>
      </c>
      <c r="D14" s="60">
        <f>COUNTIFS(GENNAIO!$E$5:$E$36,"PAGATO",GENNAIO!$B$5:$B$36,$B14)+COUNTIFS(FEBBRAIO!$E$5:$E$36,"PAGATO",FEBBRAIO!$B$5:$B$36,$B14)+COUNTIFS(MARZO!$E$5:$E$36,"PAGATO",MARZO!$B$5:$B$36,$B14)+COUNTIFS(APRILE!$E$5:$E$36,"PAGATO",APRILE!$B$5:$B$36,$B14)+COUNTIFS(MAGGIO!$E$5:$E$36,"PAGATO",MAGGIO!$B$5:$B$36,$B14)+COUNTIFS(GIUGNO!$E$5:$E$36,"PAGATO",GIUGNO!$B$5:$B$36,$B14)+COUNTIFS(LUGLIO!$E$5:$E$36,"PAGATO",LUGLIO!$B$5:$B$36,$B14)+COUNTIFS(AGOSTO!$E$5:$E$36,"PAGATO",AGOSTO!$B$5:$B$36,$B14)+COUNTIFS(SETTEMBRE!$E$5:$E$36,"PAGATO",SETTEMBRE!$B$5:$B$36,$B14)+COUNTIFS(OTTOBRE!$E$5:$E$36,"PAGATO",OTTOBRE!$B$5:$B$36,$B14)+COUNTIFS(NOVEMBRE!$E$5:$E$36,"PAGATO",NOVEMBRE!$B$5:$B$36,$B14)+COUNTIFS(DICEMBRE!$E$5:$E$36,"PAGATO",DICEMBRE!$B$5:$B$36,$B14)</f>
        <v/>
      </c>
      <c r="E14" s="59">
        <f>IFERROR(C14/D14,0)</f>
        <v/>
      </c>
      <c r="F14" s="61">
        <f>IFERROR(C14/H$4,0)</f>
        <v/>
      </c>
      <c r="G14" s="62" t="inlineStr">
        <is>
          <t>inserire manuale</t>
        </is>
      </c>
    </row>
    <row r="15">
      <c r="B15" s="13" t="n"/>
      <c r="C15" s="55">
        <f>SUMIFS(GENNAIO!$C$5:$C$36,GENNAIO!$E$5:$E$36,"PAGATO",GENNAIO!$B$5:$B$36,$B15)+SUMIFS(FEBBRAIO!$C$5:$C$36,FEBBRAIO!$E$5:$E$36,"PAGATO",FEBBRAIO!$B$5:$B$36,$B15)+SUMIFS(MARZO!$C$5:$C$36,MARZO!$E$5:$E$36,"PAGATO",MARZO!$B$5:$B$36,$B15)+SUMIFS(APRILE!$C$5:$C$36,APRILE!$E$5:$E$36,"PAGATO",APRILE!$B$5:$B$36,$B15)+SUMIFS(MAGGIO!$C$5:$C$36,MAGGIO!$E$5:$E$36,"PAGATO",MAGGIO!$B$5:$B$36,$B15)+SUMIFS(GIUGNO!$C$5:$C$36,GIUGNO!$E$5:$E$36,"PAGATO",GIUGNO!$B$5:$B$36,$B15)+SUMIFS(LUGLIO!$C$5:$C$36,LUGLIO!$E$5:$E$36,"PAGATO",LUGLIO!$B$5:$B$36,$B15)+SUMIFS(AGOSTO!$C$5:$C$36,AGOSTO!$E$5:$E$36,"PAGATO",AGOSTO!$B$5:$B$36,$B15)+SUMIFS(SETTEMBRE!$C$5:$C$36,SETTEMBRE!$E$5:$E$36,"PAGATO",SETTEMBRE!$B$5:$B$36,$B15)+SUMIFS(OTTOBRE!$C$5:$C$36,OTTOBRE!$E$5:$E$36,"PAGATO",OTTOBRE!$B$5:$B$36,$B15)+SUMIFS(NOVEMBRE!$C$5:$C$36,NOVEMBRE!$E$5:$E$36,"PAGATO",NOVEMBRE!$B$5:$B$36,$B15)+SUMIFS(DICEMBRE!$C$5:$C$36,DICEMBRE!$E$5:$E$36,"PAGATO",DICEMBRE!$B$5:$B$36,$B15)</f>
        <v/>
      </c>
      <c r="D15" s="56">
        <f>COUNTIFS(GENNAIO!$E$5:$E$36,"PAGATO",GENNAIO!$B$5:$B$36,$B15)+COUNTIFS(FEBBRAIO!$E$5:$E$36,"PAGATO",FEBBRAIO!$B$5:$B$36,$B15)+COUNTIFS(MARZO!$E$5:$E$36,"PAGATO",MARZO!$B$5:$B$36,$B15)+COUNTIFS(APRILE!$E$5:$E$36,"PAGATO",APRILE!$B$5:$B$36,$B15)+COUNTIFS(MAGGIO!$E$5:$E$36,"PAGATO",MAGGIO!$B$5:$B$36,$B15)+COUNTIFS(GIUGNO!$E$5:$E$36,"PAGATO",GIUGNO!$B$5:$B$36,$B15)+COUNTIFS(LUGLIO!$E$5:$E$36,"PAGATO",LUGLIO!$B$5:$B$36,$B15)+COUNTIFS(AGOSTO!$E$5:$E$36,"PAGATO",AGOSTO!$B$5:$B$36,$B15)+COUNTIFS(SETTEMBRE!$E$5:$E$36,"PAGATO",SETTEMBRE!$B$5:$B$36,$B15)+COUNTIFS(OTTOBRE!$E$5:$E$36,"PAGATO",OTTOBRE!$B$5:$B$36,$B15)+COUNTIFS(NOVEMBRE!$E$5:$E$36,"PAGATO",NOVEMBRE!$B$5:$B$36,$B15)+COUNTIFS(DICEMBRE!$E$5:$E$36,"PAGATO",DICEMBRE!$B$5:$B$36,$B15)</f>
        <v/>
      </c>
      <c r="E15" s="55">
        <f>IFERROR(C15/D15,0)</f>
        <v/>
      </c>
      <c r="F15" s="57">
        <f>IFERROR(C15/H$4,0)</f>
        <v/>
      </c>
      <c r="G15" s="58" t="inlineStr">
        <is>
          <t>inserire manuale</t>
        </is>
      </c>
    </row>
    <row r="16">
      <c r="B16" s="18" t="n"/>
      <c r="C16" s="59">
        <f>SUMIFS(GENNAIO!$C$5:$C$36,GENNAIO!$E$5:$E$36,"PAGATO",GENNAIO!$B$5:$B$36,$B16)+SUMIFS(FEBBRAIO!$C$5:$C$36,FEBBRAIO!$E$5:$E$36,"PAGATO",FEBBRAIO!$B$5:$B$36,$B16)+SUMIFS(MARZO!$C$5:$C$36,MARZO!$E$5:$E$36,"PAGATO",MARZO!$B$5:$B$36,$B16)+SUMIFS(APRILE!$C$5:$C$36,APRILE!$E$5:$E$36,"PAGATO",APRILE!$B$5:$B$36,$B16)+SUMIFS(MAGGIO!$C$5:$C$36,MAGGIO!$E$5:$E$36,"PAGATO",MAGGIO!$B$5:$B$36,$B16)+SUMIFS(GIUGNO!$C$5:$C$36,GIUGNO!$E$5:$E$36,"PAGATO",GIUGNO!$B$5:$B$36,$B16)+SUMIFS(LUGLIO!$C$5:$C$36,LUGLIO!$E$5:$E$36,"PAGATO",LUGLIO!$B$5:$B$36,$B16)+SUMIFS(AGOSTO!$C$5:$C$36,AGOSTO!$E$5:$E$36,"PAGATO",AGOSTO!$B$5:$B$36,$B16)+SUMIFS(SETTEMBRE!$C$5:$C$36,SETTEMBRE!$E$5:$E$36,"PAGATO",SETTEMBRE!$B$5:$B$36,$B16)+SUMIFS(OTTOBRE!$C$5:$C$36,OTTOBRE!$E$5:$E$36,"PAGATO",OTTOBRE!$B$5:$B$36,$B16)+SUMIFS(NOVEMBRE!$C$5:$C$36,NOVEMBRE!$E$5:$E$36,"PAGATO",NOVEMBRE!$B$5:$B$36,$B16)+SUMIFS(DICEMBRE!$C$5:$C$36,DICEMBRE!$E$5:$E$36,"PAGATO",DICEMBRE!$B$5:$B$36,$B16)</f>
        <v/>
      </c>
      <c r="D16" s="60">
        <f>COUNTIFS(GENNAIO!$E$5:$E$36,"PAGATO",GENNAIO!$B$5:$B$36,$B16)+COUNTIFS(FEBBRAIO!$E$5:$E$36,"PAGATO",FEBBRAIO!$B$5:$B$36,$B16)+COUNTIFS(MARZO!$E$5:$E$36,"PAGATO",MARZO!$B$5:$B$36,$B16)+COUNTIFS(APRILE!$E$5:$E$36,"PAGATO",APRILE!$B$5:$B$36,$B16)+COUNTIFS(MAGGIO!$E$5:$E$36,"PAGATO",MAGGIO!$B$5:$B$36,$B16)+COUNTIFS(GIUGNO!$E$5:$E$36,"PAGATO",GIUGNO!$B$5:$B$36,$B16)+COUNTIFS(LUGLIO!$E$5:$E$36,"PAGATO",LUGLIO!$B$5:$B$36,$B16)+COUNTIFS(AGOSTO!$E$5:$E$36,"PAGATO",AGOSTO!$B$5:$B$36,$B16)+COUNTIFS(SETTEMBRE!$E$5:$E$36,"PAGATO",SETTEMBRE!$B$5:$B$36,$B16)+COUNTIFS(OTTOBRE!$E$5:$E$36,"PAGATO",OTTOBRE!$B$5:$B$36,$B16)+COUNTIFS(NOVEMBRE!$E$5:$E$36,"PAGATO",NOVEMBRE!$B$5:$B$36,$B16)+COUNTIFS(DICEMBRE!$E$5:$E$36,"PAGATO",DICEMBRE!$B$5:$B$36,$B16)</f>
        <v/>
      </c>
      <c r="E16" s="59">
        <f>IFERROR(C16/D16,0)</f>
        <v/>
      </c>
      <c r="F16" s="61">
        <f>IFERROR(C16/H$4,0)</f>
        <v/>
      </c>
      <c r="G16" s="62" t="inlineStr">
        <is>
          <t>inserire manuale</t>
        </is>
      </c>
    </row>
    <row r="17">
      <c r="B17" s="13" t="n"/>
      <c r="C17" s="55">
        <f>SUMIFS(GENNAIO!$C$5:$C$36,GENNAIO!$E$5:$E$36,"PAGATO",GENNAIO!$B$5:$B$36,$B17)+SUMIFS(FEBBRAIO!$C$5:$C$36,FEBBRAIO!$E$5:$E$36,"PAGATO",FEBBRAIO!$B$5:$B$36,$B17)+SUMIFS(MARZO!$C$5:$C$36,MARZO!$E$5:$E$36,"PAGATO",MARZO!$B$5:$B$36,$B17)+SUMIFS(APRILE!$C$5:$C$36,APRILE!$E$5:$E$36,"PAGATO",APRILE!$B$5:$B$36,$B17)+SUMIFS(MAGGIO!$C$5:$C$36,MAGGIO!$E$5:$E$36,"PAGATO",MAGGIO!$B$5:$B$36,$B17)+SUMIFS(GIUGNO!$C$5:$C$36,GIUGNO!$E$5:$E$36,"PAGATO",GIUGNO!$B$5:$B$36,$B17)+SUMIFS(LUGLIO!$C$5:$C$36,LUGLIO!$E$5:$E$36,"PAGATO",LUGLIO!$B$5:$B$36,$B17)+SUMIFS(AGOSTO!$C$5:$C$36,AGOSTO!$E$5:$E$36,"PAGATO",AGOSTO!$B$5:$B$36,$B17)+SUMIFS(SETTEMBRE!$C$5:$C$36,SETTEMBRE!$E$5:$E$36,"PAGATO",SETTEMBRE!$B$5:$B$36,$B17)+SUMIFS(OTTOBRE!$C$5:$C$36,OTTOBRE!$E$5:$E$36,"PAGATO",OTTOBRE!$B$5:$B$36,$B17)+SUMIFS(NOVEMBRE!$C$5:$C$36,NOVEMBRE!$E$5:$E$36,"PAGATO",NOVEMBRE!$B$5:$B$36,$B17)+SUMIFS(DICEMBRE!$C$5:$C$36,DICEMBRE!$E$5:$E$36,"PAGATO",DICEMBRE!$B$5:$B$36,$B17)</f>
        <v/>
      </c>
      <c r="D17" s="56">
        <f>COUNTIFS(GENNAIO!$E$5:$E$36,"PAGATO",GENNAIO!$B$5:$B$36,$B17)+COUNTIFS(FEBBRAIO!$E$5:$E$36,"PAGATO",FEBBRAIO!$B$5:$B$36,$B17)+COUNTIFS(MARZO!$E$5:$E$36,"PAGATO",MARZO!$B$5:$B$36,$B17)+COUNTIFS(APRILE!$E$5:$E$36,"PAGATO",APRILE!$B$5:$B$36,$B17)+COUNTIFS(MAGGIO!$E$5:$E$36,"PAGATO",MAGGIO!$B$5:$B$36,$B17)+COUNTIFS(GIUGNO!$E$5:$E$36,"PAGATO",GIUGNO!$B$5:$B$36,$B17)+COUNTIFS(LUGLIO!$E$5:$E$36,"PAGATO",LUGLIO!$B$5:$B$36,$B17)+COUNTIFS(AGOSTO!$E$5:$E$36,"PAGATO",AGOSTO!$B$5:$B$36,$B17)+COUNTIFS(SETTEMBRE!$E$5:$E$36,"PAGATO",SETTEMBRE!$B$5:$B$36,$B17)+COUNTIFS(OTTOBRE!$E$5:$E$36,"PAGATO",OTTOBRE!$B$5:$B$36,$B17)+COUNTIFS(NOVEMBRE!$E$5:$E$36,"PAGATO",NOVEMBRE!$B$5:$B$36,$B17)+COUNTIFS(DICEMBRE!$E$5:$E$36,"PAGATO",DICEMBRE!$B$5:$B$36,$B17)</f>
        <v/>
      </c>
      <c r="E17" s="55">
        <f>IFERROR(C17/D17,0)</f>
        <v/>
      </c>
      <c r="F17" s="57">
        <f>IFERROR(C17/H$4,0)</f>
        <v/>
      </c>
      <c r="G17" s="58" t="inlineStr">
        <is>
          <t>inserire manuale</t>
        </is>
      </c>
    </row>
    <row r="18">
      <c r="B18" s="18" t="n"/>
      <c r="C18" s="59">
        <f>SUMIFS(GENNAIO!$C$5:$C$36,GENNAIO!$E$5:$E$36,"PAGATO",GENNAIO!$B$5:$B$36,$B18)+SUMIFS(FEBBRAIO!$C$5:$C$36,FEBBRAIO!$E$5:$E$36,"PAGATO",FEBBRAIO!$B$5:$B$36,$B18)+SUMIFS(MARZO!$C$5:$C$36,MARZO!$E$5:$E$36,"PAGATO",MARZO!$B$5:$B$36,$B18)+SUMIFS(APRILE!$C$5:$C$36,APRILE!$E$5:$E$36,"PAGATO",APRILE!$B$5:$B$36,$B18)+SUMIFS(MAGGIO!$C$5:$C$36,MAGGIO!$E$5:$E$36,"PAGATO",MAGGIO!$B$5:$B$36,$B18)+SUMIFS(GIUGNO!$C$5:$C$36,GIUGNO!$E$5:$E$36,"PAGATO",GIUGNO!$B$5:$B$36,$B18)+SUMIFS(LUGLIO!$C$5:$C$36,LUGLIO!$E$5:$E$36,"PAGATO",LUGLIO!$B$5:$B$36,$B18)+SUMIFS(AGOSTO!$C$5:$C$36,AGOSTO!$E$5:$E$36,"PAGATO",AGOSTO!$B$5:$B$36,$B18)+SUMIFS(SETTEMBRE!$C$5:$C$36,SETTEMBRE!$E$5:$E$36,"PAGATO",SETTEMBRE!$B$5:$B$36,$B18)+SUMIFS(OTTOBRE!$C$5:$C$36,OTTOBRE!$E$5:$E$36,"PAGATO",OTTOBRE!$B$5:$B$36,$B18)+SUMIFS(NOVEMBRE!$C$5:$C$36,NOVEMBRE!$E$5:$E$36,"PAGATO",NOVEMBRE!$B$5:$B$36,$B18)+SUMIFS(DICEMBRE!$C$5:$C$36,DICEMBRE!$E$5:$E$36,"PAGATO",DICEMBRE!$B$5:$B$36,$B18)</f>
        <v/>
      </c>
      <c r="D18" s="60">
        <f>COUNTIFS(GENNAIO!$E$5:$E$36,"PAGATO",GENNAIO!$B$5:$B$36,$B18)+COUNTIFS(FEBBRAIO!$E$5:$E$36,"PAGATO",FEBBRAIO!$B$5:$B$36,$B18)+COUNTIFS(MARZO!$E$5:$E$36,"PAGATO",MARZO!$B$5:$B$36,$B18)+COUNTIFS(APRILE!$E$5:$E$36,"PAGATO",APRILE!$B$5:$B$36,$B18)+COUNTIFS(MAGGIO!$E$5:$E$36,"PAGATO",MAGGIO!$B$5:$B$36,$B18)+COUNTIFS(GIUGNO!$E$5:$E$36,"PAGATO",GIUGNO!$B$5:$B$36,$B18)+COUNTIFS(LUGLIO!$E$5:$E$36,"PAGATO",LUGLIO!$B$5:$B$36,$B18)+COUNTIFS(AGOSTO!$E$5:$E$36,"PAGATO",AGOSTO!$B$5:$B$36,$B18)+COUNTIFS(SETTEMBRE!$E$5:$E$36,"PAGATO",SETTEMBRE!$B$5:$B$36,$B18)+COUNTIFS(OTTOBRE!$E$5:$E$36,"PAGATO",OTTOBRE!$B$5:$B$36,$B18)+COUNTIFS(NOVEMBRE!$E$5:$E$36,"PAGATO",NOVEMBRE!$B$5:$B$36,$B18)+COUNTIFS(DICEMBRE!$E$5:$E$36,"PAGATO",DICEMBRE!$B$5:$B$36,$B18)</f>
        <v/>
      </c>
      <c r="E18" s="59">
        <f>IFERROR(C18/D18,0)</f>
        <v/>
      </c>
      <c r="F18" s="61">
        <f>IFERROR(C18/H$4,0)</f>
        <v/>
      </c>
      <c r="G18" s="62" t="inlineStr">
        <is>
          <t>inserire manuale</t>
        </is>
      </c>
    </row>
    <row r="19">
      <c r="B19" s="13" t="n"/>
      <c r="C19" s="55">
        <f>SUMIFS(GENNAIO!$C$5:$C$36,GENNAIO!$E$5:$E$36,"PAGATO",GENNAIO!$B$5:$B$36,$B19)+SUMIFS(FEBBRAIO!$C$5:$C$36,FEBBRAIO!$E$5:$E$36,"PAGATO",FEBBRAIO!$B$5:$B$36,$B19)+SUMIFS(MARZO!$C$5:$C$36,MARZO!$E$5:$E$36,"PAGATO",MARZO!$B$5:$B$36,$B19)+SUMIFS(APRILE!$C$5:$C$36,APRILE!$E$5:$E$36,"PAGATO",APRILE!$B$5:$B$36,$B19)+SUMIFS(MAGGIO!$C$5:$C$36,MAGGIO!$E$5:$E$36,"PAGATO",MAGGIO!$B$5:$B$36,$B19)+SUMIFS(GIUGNO!$C$5:$C$36,GIUGNO!$E$5:$E$36,"PAGATO",GIUGNO!$B$5:$B$36,$B19)+SUMIFS(LUGLIO!$C$5:$C$36,LUGLIO!$E$5:$E$36,"PAGATO",LUGLIO!$B$5:$B$36,$B19)+SUMIFS(AGOSTO!$C$5:$C$36,AGOSTO!$E$5:$E$36,"PAGATO",AGOSTO!$B$5:$B$36,$B19)+SUMIFS(SETTEMBRE!$C$5:$C$36,SETTEMBRE!$E$5:$E$36,"PAGATO",SETTEMBRE!$B$5:$B$36,$B19)+SUMIFS(OTTOBRE!$C$5:$C$36,OTTOBRE!$E$5:$E$36,"PAGATO",OTTOBRE!$B$5:$B$36,$B19)+SUMIFS(NOVEMBRE!$C$5:$C$36,NOVEMBRE!$E$5:$E$36,"PAGATO",NOVEMBRE!$B$5:$B$36,$B19)+SUMIFS(DICEMBRE!$C$5:$C$36,DICEMBRE!$E$5:$E$36,"PAGATO",DICEMBRE!$B$5:$B$36,$B19)</f>
        <v/>
      </c>
      <c r="D19" s="56">
        <f>COUNTIFS(GENNAIO!$E$5:$E$36,"PAGATO",GENNAIO!$B$5:$B$36,$B19)+COUNTIFS(FEBBRAIO!$E$5:$E$36,"PAGATO",FEBBRAIO!$B$5:$B$36,$B19)+COUNTIFS(MARZO!$E$5:$E$36,"PAGATO",MARZO!$B$5:$B$36,$B19)+COUNTIFS(APRILE!$E$5:$E$36,"PAGATO",APRILE!$B$5:$B$36,$B19)+COUNTIFS(MAGGIO!$E$5:$E$36,"PAGATO",MAGGIO!$B$5:$B$36,$B19)+COUNTIFS(GIUGNO!$E$5:$E$36,"PAGATO",GIUGNO!$B$5:$B$36,$B19)+COUNTIFS(LUGLIO!$E$5:$E$36,"PAGATO",LUGLIO!$B$5:$B$36,$B19)+COUNTIFS(AGOSTO!$E$5:$E$36,"PAGATO",AGOSTO!$B$5:$B$36,$B19)+COUNTIFS(SETTEMBRE!$E$5:$E$36,"PAGATO",SETTEMBRE!$B$5:$B$36,$B19)+COUNTIFS(OTTOBRE!$E$5:$E$36,"PAGATO",OTTOBRE!$B$5:$B$36,$B19)+COUNTIFS(NOVEMBRE!$E$5:$E$36,"PAGATO",NOVEMBRE!$B$5:$B$36,$B19)+COUNTIFS(DICEMBRE!$E$5:$E$36,"PAGATO",DICEMBRE!$B$5:$B$36,$B19)</f>
        <v/>
      </c>
      <c r="E19" s="55">
        <f>IFERROR(C19/D19,0)</f>
        <v/>
      </c>
      <c r="F19" s="57">
        <f>IFERROR(C19/H$4,0)</f>
        <v/>
      </c>
      <c r="G19" s="58" t="inlineStr">
        <is>
          <t>inserire manuale</t>
        </is>
      </c>
    </row>
    <row r="20">
      <c r="B20" s="18" t="n"/>
      <c r="C20" s="59">
        <f>SUMIFS(GENNAIO!$C$5:$C$36,GENNAIO!$E$5:$E$36,"PAGATO",GENNAIO!$B$5:$B$36,$B20)+SUMIFS(FEBBRAIO!$C$5:$C$36,FEBBRAIO!$E$5:$E$36,"PAGATO",FEBBRAIO!$B$5:$B$36,$B20)+SUMIFS(MARZO!$C$5:$C$36,MARZO!$E$5:$E$36,"PAGATO",MARZO!$B$5:$B$36,$B20)+SUMIFS(APRILE!$C$5:$C$36,APRILE!$E$5:$E$36,"PAGATO",APRILE!$B$5:$B$36,$B20)+SUMIFS(MAGGIO!$C$5:$C$36,MAGGIO!$E$5:$E$36,"PAGATO",MAGGIO!$B$5:$B$36,$B20)+SUMIFS(GIUGNO!$C$5:$C$36,GIUGNO!$E$5:$E$36,"PAGATO",GIUGNO!$B$5:$B$36,$B20)+SUMIFS(LUGLIO!$C$5:$C$36,LUGLIO!$E$5:$E$36,"PAGATO",LUGLIO!$B$5:$B$36,$B20)+SUMIFS(AGOSTO!$C$5:$C$36,AGOSTO!$E$5:$E$36,"PAGATO",AGOSTO!$B$5:$B$36,$B20)+SUMIFS(SETTEMBRE!$C$5:$C$36,SETTEMBRE!$E$5:$E$36,"PAGATO",SETTEMBRE!$B$5:$B$36,$B20)+SUMIFS(OTTOBRE!$C$5:$C$36,OTTOBRE!$E$5:$E$36,"PAGATO",OTTOBRE!$B$5:$B$36,$B20)+SUMIFS(NOVEMBRE!$C$5:$C$36,NOVEMBRE!$E$5:$E$36,"PAGATO",NOVEMBRE!$B$5:$B$36,$B20)+SUMIFS(DICEMBRE!$C$5:$C$36,DICEMBRE!$E$5:$E$36,"PAGATO",DICEMBRE!$B$5:$B$36,$B20)</f>
        <v/>
      </c>
      <c r="D20" s="60">
        <f>COUNTIFS(GENNAIO!$E$5:$E$36,"PAGATO",GENNAIO!$B$5:$B$36,$B20)+COUNTIFS(FEBBRAIO!$E$5:$E$36,"PAGATO",FEBBRAIO!$B$5:$B$36,$B20)+COUNTIFS(MARZO!$E$5:$E$36,"PAGATO",MARZO!$B$5:$B$36,$B20)+COUNTIFS(APRILE!$E$5:$E$36,"PAGATO",APRILE!$B$5:$B$36,$B20)+COUNTIFS(MAGGIO!$E$5:$E$36,"PAGATO",MAGGIO!$B$5:$B$36,$B20)+COUNTIFS(GIUGNO!$E$5:$E$36,"PAGATO",GIUGNO!$B$5:$B$36,$B20)+COUNTIFS(LUGLIO!$E$5:$E$36,"PAGATO",LUGLIO!$B$5:$B$36,$B20)+COUNTIFS(AGOSTO!$E$5:$E$36,"PAGATO",AGOSTO!$B$5:$B$36,$B20)+COUNTIFS(SETTEMBRE!$E$5:$E$36,"PAGATO",SETTEMBRE!$B$5:$B$36,$B20)+COUNTIFS(OTTOBRE!$E$5:$E$36,"PAGATO",OTTOBRE!$B$5:$B$36,$B20)+COUNTIFS(NOVEMBRE!$E$5:$E$36,"PAGATO",NOVEMBRE!$B$5:$B$36,$B20)+COUNTIFS(DICEMBRE!$E$5:$E$36,"PAGATO",DICEMBRE!$B$5:$B$36,$B20)</f>
        <v/>
      </c>
      <c r="E20" s="59">
        <f>IFERROR(C20/D20,0)</f>
        <v/>
      </c>
      <c r="F20" s="61">
        <f>IFERROR(C20/H$4,0)</f>
        <v/>
      </c>
      <c r="G20" s="62" t="inlineStr">
        <is>
          <t>inserire manuale</t>
        </is>
      </c>
    </row>
    <row r="21">
      <c r="B21" s="13" t="n"/>
      <c r="C21" s="55">
        <f>SUMIFS(GENNAIO!$C$5:$C$36,GENNAIO!$E$5:$E$36,"PAGATO",GENNAIO!$B$5:$B$36,$B21)+SUMIFS(FEBBRAIO!$C$5:$C$36,FEBBRAIO!$E$5:$E$36,"PAGATO",FEBBRAIO!$B$5:$B$36,$B21)+SUMIFS(MARZO!$C$5:$C$36,MARZO!$E$5:$E$36,"PAGATO",MARZO!$B$5:$B$36,$B21)+SUMIFS(APRILE!$C$5:$C$36,APRILE!$E$5:$E$36,"PAGATO",APRILE!$B$5:$B$36,$B21)+SUMIFS(MAGGIO!$C$5:$C$36,MAGGIO!$E$5:$E$36,"PAGATO",MAGGIO!$B$5:$B$36,$B21)+SUMIFS(GIUGNO!$C$5:$C$36,GIUGNO!$E$5:$E$36,"PAGATO",GIUGNO!$B$5:$B$36,$B21)+SUMIFS(LUGLIO!$C$5:$C$36,LUGLIO!$E$5:$E$36,"PAGATO",LUGLIO!$B$5:$B$36,$B21)+SUMIFS(AGOSTO!$C$5:$C$36,AGOSTO!$E$5:$E$36,"PAGATO",AGOSTO!$B$5:$B$36,$B21)+SUMIFS(SETTEMBRE!$C$5:$C$36,SETTEMBRE!$E$5:$E$36,"PAGATO",SETTEMBRE!$B$5:$B$36,$B21)+SUMIFS(OTTOBRE!$C$5:$C$36,OTTOBRE!$E$5:$E$36,"PAGATO",OTTOBRE!$B$5:$B$36,$B21)+SUMIFS(NOVEMBRE!$C$5:$C$36,NOVEMBRE!$E$5:$E$36,"PAGATO",NOVEMBRE!$B$5:$B$36,$B21)+SUMIFS(DICEMBRE!$C$5:$C$36,DICEMBRE!$E$5:$E$36,"PAGATO",DICEMBRE!$B$5:$B$36,$B21)</f>
        <v/>
      </c>
      <c r="D21" s="56">
        <f>COUNTIFS(GENNAIO!$E$5:$E$36,"PAGATO",GENNAIO!$B$5:$B$36,$B21)+COUNTIFS(FEBBRAIO!$E$5:$E$36,"PAGATO",FEBBRAIO!$B$5:$B$36,$B21)+COUNTIFS(MARZO!$E$5:$E$36,"PAGATO",MARZO!$B$5:$B$36,$B21)+COUNTIFS(APRILE!$E$5:$E$36,"PAGATO",APRILE!$B$5:$B$36,$B21)+COUNTIFS(MAGGIO!$E$5:$E$36,"PAGATO",MAGGIO!$B$5:$B$36,$B21)+COUNTIFS(GIUGNO!$E$5:$E$36,"PAGATO",GIUGNO!$B$5:$B$36,$B21)+COUNTIFS(LUGLIO!$E$5:$E$36,"PAGATO",LUGLIO!$B$5:$B$36,$B21)+COUNTIFS(AGOSTO!$E$5:$E$36,"PAGATO",AGOSTO!$B$5:$B$36,$B21)+COUNTIFS(SETTEMBRE!$E$5:$E$36,"PAGATO",SETTEMBRE!$B$5:$B$36,$B21)+COUNTIFS(OTTOBRE!$E$5:$E$36,"PAGATO",OTTOBRE!$B$5:$B$36,$B21)+COUNTIFS(NOVEMBRE!$E$5:$E$36,"PAGATO",NOVEMBRE!$B$5:$B$36,$B21)+COUNTIFS(DICEMBRE!$E$5:$E$36,"PAGATO",DICEMBRE!$B$5:$B$36,$B21)</f>
        <v/>
      </c>
      <c r="E21" s="55">
        <f>IFERROR(C21/D21,0)</f>
        <v/>
      </c>
      <c r="F21" s="57">
        <f>IFERROR(C21/H$4,0)</f>
        <v/>
      </c>
      <c r="G21" s="58" t="inlineStr">
        <is>
          <t>inserire manuale</t>
        </is>
      </c>
    </row>
    <row r="22">
      <c r="B22" s="18" t="n"/>
      <c r="C22" s="59">
        <f>SUMIFS(GENNAIO!$C$5:$C$36,GENNAIO!$E$5:$E$36,"PAGATO",GENNAIO!$B$5:$B$36,$B22)+SUMIFS(FEBBRAIO!$C$5:$C$36,FEBBRAIO!$E$5:$E$36,"PAGATO",FEBBRAIO!$B$5:$B$36,$B22)+SUMIFS(MARZO!$C$5:$C$36,MARZO!$E$5:$E$36,"PAGATO",MARZO!$B$5:$B$36,$B22)+SUMIFS(APRILE!$C$5:$C$36,APRILE!$E$5:$E$36,"PAGATO",APRILE!$B$5:$B$36,$B22)+SUMIFS(MAGGIO!$C$5:$C$36,MAGGIO!$E$5:$E$36,"PAGATO",MAGGIO!$B$5:$B$36,$B22)+SUMIFS(GIUGNO!$C$5:$C$36,GIUGNO!$E$5:$E$36,"PAGATO",GIUGNO!$B$5:$B$36,$B22)+SUMIFS(LUGLIO!$C$5:$C$36,LUGLIO!$E$5:$E$36,"PAGATO",LUGLIO!$B$5:$B$36,$B22)+SUMIFS(AGOSTO!$C$5:$C$36,AGOSTO!$E$5:$E$36,"PAGATO",AGOSTO!$B$5:$B$36,$B22)+SUMIFS(SETTEMBRE!$C$5:$C$36,SETTEMBRE!$E$5:$E$36,"PAGATO",SETTEMBRE!$B$5:$B$36,$B22)+SUMIFS(OTTOBRE!$C$5:$C$36,OTTOBRE!$E$5:$E$36,"PAGATO",OTTOBRE!$B$5:$B$36,$B22)+SUMIFS(NOVEMBRE!$C$5:$C$36,NOVEMBRE!$E$5:$E$36,"PAGATO",NOVEMBRE!$B$5:$B$36,$B22)+SUMIFS(DICEMBRE!$C$5:$C$36,DICEMBRE!$E$5:$E$36,"PAGATO",DICEMBRE!$B$5:$B$36,$B22)</f>
        <v/>
      </c>
      <c r="D22" s="60">
        <f>COUNTIFS(GENNAIO!$E$5:$E$36,"PAGATO",GENNAIO!$B$5:$B$36,$B22)+COUNTIFS(FEBBRAIO!$E$5:$E$36,"PAGATO",FEBBRAIO!$B$5:$B$36,$B22)+COUNTIFS(MARZO!$E$5:$E$36,"PAGATO",MARZO!$B$5:$B$36,$B22)+COUNTIFS(APRILE!$E$5:$E$36,"PAGATO",APRILE!$B$5:$B$36,$B22)+COUNTIFS(MAGGIO!$E$5:$E$36,"PAGATO",MAGGIO!$B$5:$B$36,$B22)+COUNTIFS(GIUGNO!$E$5:$E$36,"PAGATO",GIUGNO!$B$5:$B$36,$B22)+COUNTIFS(LUGLIO!$E$5:$E$36,"PAGATO",LUGLIO!$B$5:$B$36,$B22)+COUNTIFS(AGOSTO!$E$5:$E$36,"PAGATO",AGOSTO!$B$5:$B$36,$B22)+COUNTIFS(SETTEMBRE!$E$5:$E$36,"PAGATO",SETTEMBRE!$B$5:$B$36,$B22)+COUNTIFS(OTTOBRE!$E$5:$E$36,"PAGATO",OTTOBRE!$B$5:$B$36,$B22)+COUNTIFS(NOVEMBRE!$E$5:$E$36,"PAGATO",NOVEMBRE!$B$5:$B$36,$B22)+COUNTIFS(DICEMBRE!$E$5:$E$36,"PAGATO",DICEMBRE!$B$5:$B$36,$B22)</f>
        <v/>
      </c>
      <c r="E22" s="59">
        <f>IFERROR(C22/D22,0)</f>
        <v/>
      </c>
      <c r="F22" s="61">
        <f>IFERROR(C22/H$4,0)</f>
        <v/>
      </c>
      <c r="G22" s="62" t="inlineStr">
        <is>
          <t>inserire manuale</t>
        </is>
      </c>
    </row>
    <row r="23">
      <c r="B23" s="13" t="n"/>
      <c r="C23" s="55">
        <f>SUMIFS(GENNAIO!$C$5:$C$36,GENNAIO!$E$5:$E$36,"PAGATO",GENNAIO!$B$5:$B$36,$B23)+SUMIFS(FEBBRAIO!$C$5:$C$36,FEBBRAIO!$E$5:$E$36,"PAGATO",FEBBRAIO!$B$5:$B$36,$B23)+SUMIFS(MARZO!$C$5:$C$36,MARZO!$E$5:$E$36,"PAGATO",MARZO!$B$5:$B$36,$B23)+SUMIFS(APRILE!$C$5:$C$36,APRILE!$E$5:$E$36,"PAGATO",APRILE!$B$5:$B$36,$B23)+SUMIFS(MAGGIO!$C$5:$C$36,MAGGIO!$E$5:$E$36,"PAGATO",MAGGIO!$B$5:$B$36,$B23)+SUMIFS(GIUGNO!$C$5:$C$36,GIUGNO!$E$5:$E$36,"PAGATO",GIUGNO!$B$5:$B$36,$B23)+SUMIFS(LUGLIO!$C$5:$C$36,LUGLIO!$E$5:$E$36,"PAGATO",LUGLIO!$B$5:$B$36,$B23)+SUMIFS(AGOSTO!$C$5:$C$36,AGOSTO!$E$5:$E$36,"PAGATO",AGOSTO!$B$5:$B$36,$B23)+SUMIFS(SETTEMBRE!$C$5:$C$36,SETTEMBRE!$E$5:$E$36,"PAGATO",SETTEMBRE!$B$5:$B$36,$B23)+SUMIFS(OTTOBRE!$C$5:$C$36,OTTOBRE!$E$5:$E$36,"PAGATO",OTTOBRE!$B$5:$B$36,$B23)+SUMIFS(NOVEMBRE!$C$5:$C$36,NOVEMBRE!$E$5:$E$36,"PAGATO",NOVEMBRE!$B$5:$B$36,$B23)+SUMIFS(DICEMBRE!$C$5:$C$36,DICEMBRE!$E$5:$E$36,"PAGATO",DICEMBRE!$B$5:$B$36,$B23)</f>
        <v/>
      </c>
      <c r="D23" s="56">
        <f>COUNTIFS(GENNAIO!$E$5:$E$36,"PAGATO",GENNAIO!$B$5:$B$36,$B23)+COUNTIFS(FEBBRAIO!$E$5:$E$36,"PAGATO",FEBBRAIO!$B$5:$B$36,$B23)+COUNTIFS(MARZO!$E$5:$E$36,"PAGATO",MARZO!$B$5:$B$36,$B23)+COUNTIFS(APRILE!$E$5:$E$36,"PAGATO",APRILE!$B$5:$B$36,$B23)+COUNTIFS(MAGGIO!$E$5:$E$36,"PAGATO",MAGGIO!$B$5:$B$36,$B23)+COUNTIFS(GIUGNO!$E$5:$E$36,"PAGATO",GIUGNO!$B$5:$B$36,$B23)+COUNTIFS(LUGLIO!$E$5:$E$36,"PAGATO",LUGLIO!$B$5:$B$36,$B23)+COUNTIFS(AGOSTO!$E$5:$E$36,"PAGATO",AGOSTO!$B$5:$B$36,$B23)+COUNTIFS(SETTEMBRE!$E$5:$E$36,"PAGATO",SETTEMBRE!$B$5:$B$36,$B23)+COUNTIFS(OTTOBRE!$E$5:$E$36,"PAGATO",OTTOBRE!$B$5:$B$36,$B23)+COUNTIFS(NOVEMBRE!$E$5:$E$36,"PAGATO",NOVEMBRE!$B$5:$B$36,$B23)+COUNTIFS(DICEMBRE!$E$5:$E$36,"PAGATO",DICEMBRE!$B$5:$B$36,$B23)</f>
        <v/>
      </c>
      <c r="E23" s="55">
        <f>IFERROR(C23/D23,0)</f>
        <v/>
      </c>
      <c r="F23" s="57">
        <f>IFERROR(C23/H$4,0)</f>
        <v/>
      </c>
      <c r="G23" s="58" t="inlineStr">
        <is>
          <t>inserire manuale</t>
        </is>
      </c>
    </row>
    <row r="24">
      <c r="B24" s="18" t="n"/>
      <c r="C24" s="59">
        <f>SUMIFS(GENNAIO!$C$5:$C$36,GENNAIO!$E$5:$E$36,"PAGATO",GENNAIO!$B$5:$B$36,$B24)+SUMIFS(FEBBRAIO!$C$5:$C$36,FEBBRAIO!$E$5:$E$36,"PAGATO",FEBBRAIO!$B$5:$B$36,$B24)+SUMIFS(MARZO!$C$5:$C$36,MARZO!$E$5:$E$36,"PAGATO",MARZO!$B$5:$B$36,$B24)+SUMIFS(APRILE!$C$5:$C$36,APRILE!$E$5:$E$36,"PAGATO",APRILE!$B$5:$B$36,$B24)+SUMIFS(MAGGIO!$C$5:$C$36,MAGGIO!$E$5:$E$36,"PAGATO",MAGGIO!$B$5:$B$36,$B24)+SUMIFS(GIUGNO!$C$5:$C$36,GIUGNO!$E$5:$E$36,"PAGATO",GIUGNO!$B$5:$B$36,$B24)+SUMIFS(LUGLIO!$C$5:$C$36,LUGLIO!$E$5:$E$36,"PAGATO",LUGLIO!$B$5:$B$36,$B24)+SUMIFS(AGOSTO!$C$5:$C$36,AGOSTO!$E$5:$E$36,"PAGATO",AGOSTO!$B$5:$B$36,$B24)+SUMIFS(SETTEMBRE!$C$5:$C$36,SETTEMBRE!$E$5:$E$36,"PAGATO",SETTEMBRE!$B$5:$B$36,$B24)+SUMIFS(OTTOBRE!$C$5:$C$36,OTTOBRE!$E$5:$E$36,"PAGATO",OTTOBRE!$B$5:$B$36,$B24)+SUMIFS(NOVEMBRE!$C$5:$C$36,NOVEMBRE!$E$5:$E$36,"PAGATO",NOVEMBRE!$B$5:$B$36,$B24)+SUMIFS(DICEMBRE!$C$5:$C$36,DICEMBRE!$E$5:$E$36,"PAGATO",DICEMBRE!$B$5:$B$36,$B24)</f>
        <v/>
      </c>
      <c r="D24" s="60">
        <f>COUNTIFS(GENNAIO!$E$5:$E$36,"PAGATO",GENNAIO!$B$5:$B$36,$B24)+COUNTIFS(FEBBRAIO!$E$5:$E$36,"PAGATO",FEBBRAIO!$B$5:$B$36,$B24)+COUNTIFS(MARZO!$E$5:$E$36,"PAGATO",MARZO!$B$5:$B$36,$B24)+COUNTIFS(APRILE!$E$5:$E$36,"PAGATO",APRILE!$B$5:$B$36,$B24)+COUNTIFS(MAGGIO!$E$5:$E$36,"PAGATO",MAGGIO!$B$5:$B$36,$B24)+COUNTIFS(GIUGNO!$E$5:$E$36,"PAGATO",GIUGNO!$B$5:$B$36,$B24)+COUNTIFS(LUGLIO!$E$5:$E$36,"PAGATO",LUGLIO!$B$5:$B$36,$B24)+COUNTIFS(AGOSTO!$E$5:$E$36,"PAGATO",AGOSTO!$B$5:$B$36,$B24)+COUNTIFS(SETTEMBRE!$E$5:$E$36,"PAGATO",SETTEMBRE!$B$5:$B$36,$B24)+COUNTIFS(OTTOBRE!$E$5:$E$36,"PAGATO",OTTOBRE!$B$5:$B$36,$B24)+COUNTIFS(NOVEMBRE!$E$5:$E$36,"PAGATO",NOVEMBRE!$B$5:$B$36,$B24)+COUNTIFS(DICEMBRE!$E$5:$E$36,"PAGATO",DICEMBRE!$B$5:$B$36,$B24)</f>
        <v/>
      </c>
      <c r="E24" s="59">
        <f>IFERROR(C24/D24,0)</f>
        <v/>
      </c>
      <c r="F24" s="61">
        <f>IFERROR(C24/H$4,0)</f>
        <v/>
      </c>
      <c r="G24" s="62" t="inlineStr">
        <is>
          <t>inserire manuale</t>
        </is>
      </c>
    </row>
    <row r="26" ht="8" customHeight="1"/>
    <row r="27">
      <c r="B27" s="11" t="inlineStr">
        <is>
          <t>KPI CLIENTI</t>
        </is>
      </c>
    </row>
    <row r="28">
      <c r="B28" s="39" t="inlineStr">
        <is>
          <t>Cliente Top Anno</t>
        </is>
      </c>
      <c r="C28" s="63">
        <f>IFERROR(INDEX(B5:B24,MATCH(MAX(C5:C24),C5:C24,0)),"—")</f>
        <v/>
      </c>
    </row>
    <row r="29">
      <c r="B29" s="39" t="inlineStr">
        <is>
          <t>Dipendenza % principale</t>
        </is>
      </c>
      <c r="C29" s="64">
        <f>IFERROR(MAX(F5:F24),0)</f>
        <v/>
      </c>
    </row>
    <row r="30">
      <c r="B30" s="39" t="inlineStr">
        <is>
          <t>N. Clienti Attivi</t>
        </is>
      </c>
      <c r="C30" s="65">
        <f>COUNTIF(C5:C24,"&gt;0")</f>
        <v/>
      </c>
    </row>
  </sheetData>
  <mergeCells count="3">
    <mergeCell ref="B3:G3"/>
    <mergeCell ref="B27:D27"/>
    <mergeCell ref="B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5C00"/>
    <outlinePr summaryBelow="1" summaryRight="1"/>
    <pageSetUpPr/>
  </sheetPr>
  <dimension ref="B1:H73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B1" s="10" t="inlineStr">
        <is>
          <t>TANGERINE SHEETS — DASHBOARD 2026</t>
        </is>
      </c>
    </row>
    <row r="2" ht="14" customHeight="1">
      <c r="B2" s="66">
        <f>TODAY()</f>
        <v/>
      </c>
    </row>
    <row r="3" ht="8" customHeight="1"/>
    <row r="4">
      <c r="B4" s="11" t="inlineStr">
        <is>
          <t>MONITORAGGIO ENTRATE</t>
        </is>
      </c>
    </row>
    <row r="5">
      <c r="B5" s="39" t="inlineStr">
        <is>
          <t>Contrattualizzato Totale</t>
        </is>
      </c>
      <c r="C5" s="67">
        <f>(GENNAIO!K5+FEBBRAIO!K5+MARZO!K5+APRILE!K5+MAGGIO!K5+GIUGNO!K5+LUGLIO!K5+AGOSTO!K5+SETTEMBRE!K5+OTTOBRE!K5+NOVEMBRE!K5+DICEMBRE!K5)+(GENNAIO!K6+FEBBRAIO!K6+MARZO!K6+APRILE!K6+MAGGIO!K6+GIUGNO!K6+LUGLIO!K6+AGOSTO!K6+SETTEMBRE!K6+OTTOBRE!K6+NOVEMBRE!K6+DICEMBRE!K6)+(GENNAIO!K7+FEBBRAIO!K7+MARZO!K7+APRILE!K7+MAGGIO!K7+GIUGNO!K7+LUGLIO!K7+AGOSTO!K7+SETTEMBRE!K7+OTTOBRE!K7+NOVEMBRE!K7+DICEMBRE!K7)</f>
        <v/>
      </c>
    </row>
    <row r="6">
      <c r="B6" s="68" t="inlineStr">
        <is>
          <t>Incassato ad Oggi</t>
        </is>
      </c>
      <c r="C6" s="69">
        <f>GENNAIO!K5+FEBBRAIO!K5+MARZO!K5+APRILE!K5+MAGGIO!K5+GIUGNO!K5+LUGLIO!K5+AGOSTO!K5+SETTEMBRE!K5+OTTOBRE!K5+NOVEMBRE!K5+DICEMBRE!K5</f>
        <v/>
      </c>
    </row>
    <row r="7">
      <c r="B7" s="20" t="inlineStr">
        <is>
          <t>Crediti In Attesa</t>
        </is>
      </c>
      <c r="C7" s="21">
        <f>GENNAIO!K6+FEBBRAIO!K6+MARZO!K6+APRILE!K6+MAGGIO!K6+GIUGNO!K6+LUGLIO!K6+AGOSTO!K6+SETTEMBRE!K6+OTTOBRE!K6+NOVEMBRE!K6+DICEMBRE!K6</f>
        <v/>
      </c>
    </row>
    <row r="8">
      <c r="B8" s="22" t="inlineStr">
        <is>
          <t>Pipeline Programmata</t>
        </is>
      </c>
      <c r="C8" s="23">
        <f>GENNAIO!K7+FEBBRAIO!K7+MARZO!K7+APRILE!K7+MAGGIO!K7+GIUGNO!K7+LUGLIO!K7+AGOSTO!K7+SETTEMBRE!K7+OTTOBRE!K7+NOVEMBRE!K7+DICEMBRE!K7</f>
        <v/>
      </c>
    </row>
    <row r="9">
      <c r="B9" s="26" t="inlineStr">
        <is>
          <t>Gap vs Contrattualizzato</t>
        </is>
      </c>
      <c r="C9" s="27">
        <f>B5-B6</f>
        <v/>
      </c>
    </row>
    <row r="11" ht="8" customHeight="1"/>
    <row r="12">
      <c r="B12" s="11" t="inlineStr">
        <is>
          <t>CRUSCOTTO FISCALE</t>
        </is>
      </c>
    </row>
    <row r="13">
      <c r="B13" s="12" t="inlineStr">
        <is>
          <t>MESE</t>
        </is>
      </c>
      <c r="C13" s="12" t="inlineStr">
        <is>
          <t>INCASSATO</t>
        </is>
      </c>
      <c r="D13" s="12" t="inlineStr">
        <is>
          <t>IMPONIBILE YTD</t>
        </is>
      </c>
      <c r="E13" s="12" t="inlineStr">
        <is>
          <t>INPS ECCEDENZA</t>
        </is>
      </c>
      <c r="F13" s="12" t="inlineStr">
        <is>
          <t>TASSE STIMATE</t>
        </is>
      </c>
      <c r="G13" s="12" t="inlineStr">
        <is>
          <t>NETTO REALE</t>
        </is>
      </c>
    </row>
    <row r="14">
      <c r="B14" s="70" t="inlineStr">
        <is>
          <t>GENNAIO</t>
        </is>
      </c>
      <c r="C14" s="55">
        <f>GENNAIO!K5</f>
        <v/>
      </c>
      <c r="D14" s="55">
        <f>SUM($C$14:C14)*SETUP!$C$4</f>
        <v/>
      </c>
      <c r="E14" s="55">
        <f>MAX(0,(MIN(D14,999999)-MAX(SETUP!$C$6,IFERROR(0,0)))*SETUP!$C$8)</f>
        <v/>
      </c>
      <c r="F14" s="55">
        <f>GENNAIO!K11</f>
        <v/>
      </c>
      <c r="G14" s="71">
        <f>GENNAIO!K12</f>
        <v/>
      </c>
    </row>
    <row r="15">
      <c r="B15" s="72" t="inlineStr">
        <is>
          <t>FEBBRAIO</t>
        </is>
      </c>
      <c r="C15" s="73">
        <f>FEBBRAIO!K5</f>
        <v/>
      </c>
      <c r="D15" s="73">
        <f>SUM($C$14:C15)*SETUP!$C$4</f>
        <v/>
      </c>
      <c r="E15" s="73">
        <f>MAX(0,(MIN(D15,999999)-MAX(SETUP!$C$6,IFERROR(D14,0)))*SETUP!$C$8)</f>
        <v/>
      </c>
      <c r="F15" s="73">
        <f>FEBBRAIO!K11</f>
        <v/>
      </c>
      <c r="G15" s="74">
        <f>FEBBRAIO!K12</f>
        <v/>
      </c>
    </row>
    <row r="16">
      <c r="B16" s="70" t="inlineStr">
        <is>
          <t>MARZO</t>
        </is>
      </c>
      <c r="C16" s="55">
        <f>MARZO!K5</f>
        <v/>
      </c>
      <c r="D16" s="55">
        <f>SUM($C$14:C16)*SETUP!$C$4</f>
        <v/>
      </c>
      <c r="E16" s="55">
        <f>MAX(0,(MIN(D16,999999)-MAX(SETUP!$C$6,IFERROR(D15,0)))*SETUP!$C$8)</f>
        <v/>
      </c>
      <c r="F16" s="55">
        <f>MARZO!K11</f>
        <v/>
      </c>
      <c r="G16" s="71">
        <f>MARZO!K12</f>
        <v/>
      </c>
    </row>
    <row r="17">
      <c r="B17" s="72" t="inlineStr">
        <is>
          <t>APRILE</t>
        </is>
      </c>
      <c r="C17" s="73">
        <f>APRILE!K5</f>
        <v/>
      </c>
      <c r="D17" s="73">
        <f>SUM($C$14:C17)*SETUP!$C$4</f>
        <v/>
      </c>
      <c r="E17" s="73">
        <f>MAX(0,(MIN(D17,999999)-MAX(SETUP!$C$6,IFERROR(D16,0)))*SETUP!$C$8)</f>
        <v/>
      </c>
      <c r="F17" s="73">
        <f>APRILE!K11</f>
        <v/>
      </c>
      <c r="G17" s="74">
        <f>APRILE!K12</f>
        <v/>
      </c>
    </row>
    <row r="18">
      <c r="B18" s="70" t="inlineStr">
        <is>
          <t>MAGGIO</t>
        </is>
      </c>
      <c r="C18" s="55">
        <f>MAGGIO!K5</f>
        <v/>
      </c>
      <c r="D18" s="55">
        <f>SUM($C$14:C18)*SETUP!$C$4</f>
        <v/>
      </c>
      <c r="E18" s="55">
        <f>MAX(0,(MIN(D18,999999)-MAX(SETUP!$C$6,IFERROR(D17,0)))*SETUP!$C$8)</f>
        <v/>
      </c>
      <c r="F18" s="55">
        <f>MAGGIO!K11</f>
        <v/>
      </c>
      <c r="G18" s="71">
        <f>MAGGIO!K12</f>
        <v/>
      </c>
    </row>
    <row r="19">
      <c r="B19" s="72" t="inlineStr">
        <is>
          <t>GIUGNO</t>
        </is>
      </c>
      <c r="C19" s="73">
        <f>GIUGNO!K5</f>
        <v/>
      </c>
      <c r="D19" s="73">
        <f>SUM($C$14:C19)*SETUP!$C$4</f>
        <v/>
      </c>
      <c r="E19" s="73">
        <f>MAX(0,(MIN(D19,999999)-MAX(SETUP!$C$6,IFERROR(D18,0)))*SETUP!$C$8)</f>
        <v/>
      </c>
      <c r="F19" s="73">
        <f>GIUGNO!K11</f>
        <v/>
      </c>
      <c r="G19" s="74">
        <f>GIUGNO!K12</f>
        <v/>
      </c>
    </row>
    <row r="20">
      <c r="B20" s="70" t="inlineStr">
        <is>
          <t>LUGLIO</t>
        </is>
      </c>
      <c r="C20" s="55">
        <f>LUGLIO!K5</f>
        <v/>
      </c>
      <c r="D20" s="55">
        <f>SUM($C$14:C20)*SETUP!$C$4</f>
        <v/>
      </c>
      <c r="E20" s="55">
        <f>MAX(0,(MIN(D20,999999)-MAX(SETUP!$C$6,IFERROR(D19,0)))*SETUP!$C$8)</f>
        <v/>
      </c>
      <c r="F20" s="55">
        <f>LUGLIO!K11</f>
        <v/>
      </c>
      <c r="G20" s="71">
        <f>LUGLIO!K12</f>
        <v/>
      </c>
    </row>
    <row r="21">
      <c r="B21" s="72" t="inlineStr">
        <is>
          <t>AGOSTO</t>
        </is>
      </c>
      <c r="C21" s="73">
        <f>AGOSTO!K5</f>
        <v/>
      </c>
      <c r="D21" s="73">
        <f>SUM($C$14:C21)*SETUP!$C$4</f>
        <v/>
      </c>
      <c r="E21" s="73">
        <f>MAX(0,(MIN(D21,999999)-MAX(SETUP!$C$6,IFERROR(D20,0)))*SETUP!$C$8)</f>
        <v/>
      </c>
      <c r="F21" s="73">
        <f>AGOSTO!K11</f>
        <v/>
      </c>
      <c r="G21" s="74">
        <f>AGOSTO!K12</f>
        <v/>
      </c>
    </row>
    <row r="22">
      <c r="B22" s="70" t="inlineStr">
        <is>
          <t>SETTEMBRE</t>
        </is>
      </c>
      <c r="C22" s="55">
        <f>SETTEMBRE!K5</f>
        <v/>
      </c>
      <c r="D22" s="55">
        <f>SUM($C$14:C22)*SETUP!$C$4</f>
        <v/>
      </c>
      <c r="E22" s="55">
        <f>MAX(0,(MIN(D22,999999)-MAX(SETUP!$C$6,IFERROR(D21,0)))*SETUP!$C$8)</f>
        <v/>
      </c>
      <c r="F22" s="55">
        <f>SETTEMBRE!K11</f>
        <v/>
      </c>
      <c r="G22" s="71">
        <f>SETTEMBRE!K12</f>
        <v/>
      </c>
    </row>
    <row r="23">
      <c r="B23" s="72" t="inlineStr">
        <is>
          <t>OTTOBRE</t>
        </is>
      </c>
      <c r="C23" s="73">
        <f>OTTOBRE!K5</f>
        <v/>
      </c>
      <c r="D23" s="73">
        <f>SUM($C$14:C23)*SETUP!$C$4</f>
        <v/>
      </c>
      <c r="E23" s="73">
        <f>MAX(0,(MIN(D23,999999)-MAX(SETUP!$C$6,IFERROR(D22,0)))*SETUP!$C$8)</f>
        <v/>
      </c>
      <c r="F23" s="73">
        <f>OTTOBRE!K11</f>
        <v/>
      </c>
      <c r="G23" s="74">
        <f>OTTOBRE!K12</f>
        <v/>
      </c>
    </row>
    <row r="24">
      <c r="B24" s="70" t="inlineStr">
        <is>
          <t>NOVEMBRE</t>
        </is>
      </c>
      <c r="C24" s="55">
        <f>NOVEMBRE!K5</f>
        <v/>
      </c>
      <c r="D24" s="55">
        <f>SUM($C$14:C24)*SETUP!$C$4</f>
        <v/>
      </c>
      <c r="E24" s="55">
        <f>MAX(0,(MIN(D24,999999)-MAX(SETUP!$C$6,IFERROR(D23,0)))*SETUP!$C$8)</f>
        <v/>
      </c>
      <c r="F24" s="55">
        <f>NOVEMBRE!K11</f>
        <v/>
      </c>
      <c r="G24" s="71">
        <f>NOVEMBRE!K12</f>
        <v/>
      </c>
    </row>
    <row r="25">
      <c r="B25" s="72" t="inlineStr">
        <is>
          <t>DICEMBRE</t>
        </is>
      </c>
      <c r="C25" s="73">
        <f>DICEMBRE!K5</f>
        <v/>
      </c>
      <c r="D25" s="73">
        <f>SUM($C$14:C25)*SETUP!$C$4</f>
        <v/>
      </c>
      <c r="E25" s="73">
        <f>MAX(0,(MIN(D25,999999)-MAX(SETUP!$C$6,IFERROR(D24,0)))*SETUP!$C$8)</f>
        <v/>
      </c>
      <c r="F25" s="73">
        <f>DICEMBRE!K11</f>
        <v/>
      </c>
      <c r="G25" s="74">
        <f>DICEMBRE!K12</f>
        <v/>
      </c>
    </row>
    <row r="27" ht="8" customHeight="1"/>
    <row r="28">
      <c r="B28" s="11" t="inlineStr">
        <is>
          <t>SECCHIELLI — TOTALE ACCANTONATO</t>
        </is>
      </c>
    </row>
    <row r="29">
      <c r="B29" s="12" t="inlineStr">
        <is>
          <t>OBIETTIVO</t>
        </is>
      </c>
      <c r="C29" s="12" t="inlineStr">
        <is>
          <t>TOTALE ACCANTONATO</t>
        </is>
      </c>
      <c r="D29" s="12" t="inlineStr">
        <is>
          <t>TARGET</t>
        </is>
      </c>
    </row>
    <row r="30">
      <c r="B30" s="75">
        <f>IFERROR(SETUP!$G$4,"")</f>
        <v/>
      </c>
      <c r="C30" s="76">
        <f>IF(B30&lt;&gt;"",SUMIFS(GENNAIO!$K$21:$K$32,GENNAIO!$J$21:$J$32,$B30)+SUMIFS(FEBBRAIO!$K$21:$K$32,FEBBRAIO!$J$21:$J$32,$B30)+SUMIFS(MARZO!$K$21:$K$32,MARZO!$J$21:$J$32,$B30)+SUMIFS(APRILE!$K$21:$K$32,APRILE!$J$21:$J$32,$B30)+SUMIFS(MAGGIO!$K$21:$K$32,MAGGIO!$J$21:$J$32,$B30)+SUMIFS(GIUGNO!$K$21:$K$32,GIUGNO!$J$21:$J$32,$B30)+SUMIFS(LUGLIO!$K$21:$K$32,LUGLIO!$J$21:$J$32,$B30)+SUMIFS(AGOSTO!$K$21:$K$32,AGOSTO!$J$21:$J$32,$B30)+SUMIFS(SETTEMBRE!$K$21:$K$32,SETTEMBRE!$J$21:$J$32,$B30)+SUMIFS(OTTOBRE!$K$21:$K$32,OTTOBRE!$J$21:$J$32,$B30)+SUMIFS(NOVEMBRE!$K$21:$K$32,NOVEMBRE!$J$21:$J$32,$B30)+SUMIFS(DICEMBRE!$K$21:$K$32,DICEMBRE!$J$21:$J$32,$B30),"")</f>
        <v/>
      </c>
      <c r="D30" s="14" t="n"/>
    </row>
    <row r="31">
      <c r="B31" s="77">
        <f>IFERROR(SETUP!$G$5,"")</f>
        <v/>
      </c>
      <c r="C31" s="78">
        <f>IF(B31&lt;&gt;"",SUMIFS(GENNAIO!$K$21:$K$32,GENNAIO!$J$21:$J$32,$B31)+SUMIFS(FEBBRAIO!$K$21:$K$32,FEBBRAIO!$J$21:$J$32,$B31)+SUMIFS(MARZO!$K$21:$K$32,MARZO!$J$21:$J$32,$B31)+SUMIFS(APRILE!$K$21:$K$32,APRILE!$J$21:$J$32,$B31)+SUMIFS(MAGGIO!$K$21:$K$32,MAGGIO!$J$21:$J$32,$B31)+SUMIFS(GIUGNO!$K$21:$K$32,GIUGNO!$J$21:$J$32,$B31)+SUMIFS(LUGLIO!$K$21:$K$32,LUGLIO!$J$21:$J$32,$B31)+SUMIFS(AGOSTO!$K$21:$K$32,AGOSTO!$J$21:$J$32,$B31)+SUMIFS(SETTEMBRE!$K$21:$K$32,SETTEMBRE!$J$21:$J$32,$B31)+SUMIFS(OTTOBRE!$K$21:$K$32,OTTOBRE!$J$21:$J$32,$B31)+SUMIFS(NOVEMBRE!$K$21:$K$32,NOVEMBRE!$J$21:$J$32,$B31)+SUMIFS(DICEMBRE!$K$21:$K$32,DICEMBRE!$J$21:$J$32,$B31),"")</f>
        <v/>
      </c>
      <c r="D31" s="79" t="n"/>
    </row>
    <row r="32">
      <c r="B32" s="75">
        <f>IFERROR(SETUP!$G$6,"")</f>
        <v/>
      </c>
      <c r="C32" s="76">
        <f>IF(B32&lt;&gt;"",SUMIFS(GENNAIO!$K$21:$K$32,GENNAIO!$J$21:$J$32,$B32)+SUMIFS(FEBBRAIO!$K$21:$K$32,FEBBRAIO!$J$21:$J$32,$B32)+SUMIFS(MARZO!$K$21:$K$32,MARZO!$J$21:$J$32,$B32)+SUMIFS(APRILE!$K$21:$K$32,APRILE!$J$21:$J$32,$B32)+SUMIFS(MAGGIO!$K$21:$K$32,MAGGIO!$J$21:$J$32,$B32)+SUMIFS(GIUGNO!$K$21:$K$32,GIUGNO!$J$21:$J$32,$B32)+SUMIFS(LUGLIO!$K$21:$K$32,LUGLIO!$J$21:$J$32,$B32)+SUMIFS(AGOSTO!$K$21:$K$32,AGOSTO!$J$21:$J$32,$B32)+SUMIFS(SETTEMBRE!$K$21:$K$32,SETTEMBRE!$J$21:$J$32,$B32)+SUMIFS(OTTOBRE!$K$21:$K$32,OTTOBRE!$J$21:$J$32,$B32)+SUMIFS(NOVEMBRE!$K$21:$K$32,NOVEMBRE!$J$21:$J$32,$B32)+SUMIFS(DICEMBRE!$K$21:$K$32,DICEMBRE!$J$21:$J$32,$B32),"")</f>
        <v/>
      </c>
      <c r="D32" s="14" t="n"/>
    </row>
    <row r="33">
      <c r="B33" s="77">
        <f>IFERROR(SETUP!$G$7,"")</f>
        <v/>
      </c>
      <c r="C33" s="78">
        <f>IF(B33&lt;&gt;"",SUMIFS(GENNAIO!$K$21:$K$32,GENNAIO!$J$21:$J$32,$B33)+SUMIFS(FEBBRAIO!$K$21:$K$32,FEBBRAIO!$J$21:$J$32,$B33)+SUMIFS(MARZO!$K$21:$K$32,MARZO!$J$21:$J$32,$B33)+SUMIFS(APRILE!$K$21:$K$32,APRILE!$J$21:$J$32,$B33)+SUMIFS(MAGGIO!$K$21:$K$32,MAGGIO!$J$21:$J$32,$B33)+SUMIFS(GIUGNO!$K$21:$K$32,GIUGNO!$J$21:$J$32,$B33)+SUMIFS(LUGLIO!$K$21:$K$32,LUGLIO!$J$21:$J$32,$B33)+SUMIFS(AGOSTO!$K$21:$K$32,AGOSTO!$J$21:$J$32,$B33)+SUMIFS(SETTEMBRE!$K$21:$K$32,SETTEMBRE!$J$21:$J$32,$B33)+SUMIFS(OTTOBRE!$K$21:$K$32,OTTOBRE!$J$21:$J$32,$B33)+SUMIFS(NOVEMBRE!$K$21:$K$32,NOVEMBRE!$J$21:$J$32,$B33)+SUMIFS(DICEMBRE!$K$21:$K$32,DICEMBRE!$J$21:$J$32,$B33),"")</f>
        <v/>
      </c>
      <c r="D33" s="79" t="n"/>
    </row>
    <row r="34">
      <c r="B34" s="75">
        <f>IFERROR(SETUP!$G$8,"")</f>
        <v/>
      </c>
      <c r="C34" s="76">
        <f>IF(B34&lt;&gt;"",SUMIFS(GENNAIO!$K$21:$K$32,GENNAIO!$J$21:$J$32,$B34)+SUMIFS(FEBBRAIO!$K$21:$K$32,FEBBRAIO!$J$21:$J$32,$B34)+SUMIFS(MARZO!$K$21:$K$32,MARZO!$J$21:$J$32,$B34)+SUMIFS(APRILE!$K$21:$K$32,APRILE!$J$21:$J$32,$B34)+SUMIFS(MAGGIO!$K$21:$K$32,MAGGIO!$J$21:$J$32,$B34)+SUMIFS(GIUGNO!$K$21:$K$32,GIUGNO!$J$21:$J$32,$B34)+SUMIFS(LUGLIO!$K$21:$K$32,LUGLIO!$J$21:$J$32,$B34)+SUMIFS(AGOSTO!$K$21:$K$32,AGOSTO!$J$21:$J$32,$B34)+SUMIFS(SETTEMBRE!$K$21:$K$32,SETTEMBRE!$J$21:$J$32,$B34)+SUMIFS(OTTOBRE!$K$21:$K$32,OTTOBRE!$J$21:$J$32,$B34)+SUMIFS(NOVEMBRE!$K$21:$K$32,NOVEMBRE!$J$21:$J$32,$B34)+SUMIFS(DICEMBRE!$K$21:$K$32,DICEMBRE!$J$21:$J$32,$B34),"")</f>
        <v/>
      </c>
      <c r="D34" s="14" t="n"/>
    </row>
    <row r="35">
      <c r="B35" s="77">
        <f>IFERROR(SETUP!$G$9,"")</f>
        <v/>
      </c>
      <c r="C35" s="78">
        <f>IF(B35&lt;&gt;"",SUMIFS(GENNAIO!$K$21:$K$32,GENNAIO!$J$21:$J$32,$B35)+SUMIFS(FEBBRAIO!$K$21:$K$32,FEBBRAIO!$J$21:$J$32,$B35)+SUMIFS(MARZO!$K$21:$K$32,MARZO!$J$21:$J$32,$B35)+SUMIFS(APRILE!$K$21:$K$32,APRILE!$J$21:$J$32,$B35)+SUMIFS(MAGGIO!$K$21:$K$32,MAGGIO!$J$21:$J$32,$B35)+SUMIFS(GIUGNO!$K$21:$K$32,GIUGNO!$J$21:$J$32,$B35)+SUMIFS(LUGLIO!$K$21:$K$32,LUGLIO!$J$21:$J$32,$B35)+SUMIFS(AGOSTO!$K$21:$K$32,AGOSTO!$J$21:$J$32,$B35)+SUMIFS(SETTEMBRE!$K$21:$K$32,SETTEMBRE!$J$21:$J$32,$B35)+SUMIFS(OTTOBRE!$K$21:$K$32,OTTOBRE!$J$21:$J$32,$B35)+SUMIFS(NOVEMBRE!$K$21:$K$32,NOVEMBRE!$J$21:$J$32,$B35)+SUMIFS(DICEMBRE!$K$21:$K$32,DICEMBRE!$J$21:$J$32,$B35),"")</f>
        <v/>
      </c>
      <c r="D35" s="79" t="n"/>
    </row>
    <row r="36">
      <c r="B36" s="75">
        <f>IFERROR(SETUP!$G$10,"")</f>
        <v/>
      </c>
      <c r="C36" s="76">
        <f>IF(B36&lt;&gt;"",SUMIFS(GENNAIO!$K$21:$K$32,GENNAIO!$J$21:$J$32,$B36)+SUMIFS(FEBBRAIO!$K$21:$K$32,FEBBRAIO!$J$21:$J$32,$B36)+SUMIFS(MARZO!$K$21:$K$32,MARZO!$J$21:$J$32,$B36)+SUMIFS(APRILE!$K$21:$K$32,APRILE!$J$21:$J$32,$B36)+SUMIFS(MAGGIO!$K$21:$K$32,MAGGIO!$J$21:$J$32,$B36)+SUMIFS(GIUGNO!$K$21:$K$32,GIUGNO!$J$21:$J$32,$B36)+SUMIFS(LUGLIO!$K$21:$K$32,LUGLIO!$J$21:$J$32,$B36)+SUMIFS(AGOSTO!$K$21:$K$32,AGOSTO!$J$21:$J$32,$B36)+SUMIFS(SETTEMBRE!$K$21:$K$32,SETTEMBRE!$J$21:$J$32,$B36)+SUMIFS(OTTOBRE!$K$21:$K$32,OTTOBRE!$J$21:$J$32,$B36)+SUMIFS(NOVEMBRE!$K$21:$K$32,NOVEMBRE!$J$21:$J$32,$B36)+SUMIFS(DICEMBRE!$K$21:$K$32,DICEMBRE!$J$21:$J$32,$B36),"")</f>
        <v/>
      </c>
      <c r="D36" s="14" t="n"/>
    </row>
    <row r="37">
      <c r="B37" s="77">
        <f>IFERROR(SETUP!$G$11,"")</f>
        <v/>
      </c>
      <c r="C37" s="78">
        <f>IF(B37&lt;&gt;"",SUMIFS(GENNAIO!$K$21:$K$32,GENNAIO!$J$21:$J$32,$B37)+SUMIFS(FEBBRAIO!$K$21:$K$32,FEBBRAIO!$J$21:$J$32,$B37)+SUMIFS(MARZO!$K$21:$K$32,MARZO!$J$21:$J$32,$B37)+SUMIFS(APRILE!$K$21:$K$32,APRILE!$J$21:$J$32,$B37)+SUMIFS(MAGGIO!$K$21:$K$32,MAGGIO!$J$21:$J$32,$B37)+SUMIFS(GIUGNO!$K$21:$K$32,GIUGNO!$J$21:$J$32,$B37)+SUMIFS(LUGLIO!$K$21:$K$32,LUGLIO!$J$21:$J$32,$B37)+SUMIFS(AGOSTO!$K$21:$K$32,AGOSTO!$J$21:$J$32,$B37)+SUMIFS(SETTEMBRE!$K$21:$K$32,SETTEMBRE!$J$21:$J$32,$B37)+SUMIFS(OTTOBRE!$K$21:$K$32,OTTOBRE!$J$21:$J$32,$B37)+SUMIFS(NOVEMBRE!$K$21:$K$32,NOVEMBRE!$J$21:$J$32,$B37)+SUMIFS(DICEMBRE!$K$21:$K$32,DICEMBRE!$J$21:$J$32,$B37),"")</f>
        <v/>
      </c>
      <c r="D37" s="79" t="n"/>
    </row>
    <row r="38">
      <c r="B38" s="75">
        <f>IFERROR(SETUP!$G$12,"")</f>
        <v/>
      </c>
      <c r="C38" s="76">
        <f>IF(B38&lt;&gt;"",SUMIFS(GENNAIO!$K$21:$K$32,GENNAIO!$J$21:$J$32,$B38)+SUMIFS(FEBBRAIO!$K$21:$K$32,FEBBRAIO!$J$21:$J$32,$B38)+SUMIFS(MARZO!$K$21:$K$32,MARZO!$J$21:$J$32,$B38)+SUMIFS(APRILE!$K$21:$K$32,APRILE!$J$21:$J$32,$B38)+SUMIFS(MAGGIO!$K$21:$K$32,MAGGIO!$J$21:$J$32,$B38)+SUMIFS(GIUGNO!$K$21:$K$32,GIUGNO!$J$21:$J$32,$B38)+SUMIFS(LUGLIO!$K$21:$K$32,LUGLIO!$J$21:$J$32,$B38)+SUMIFS(AGOSTO!$K$21:$K$32,AGOSTO!$J$21:$J$32,$B38)+SUMIFS(SETTEMBRE!$K$21:$K$32,SETTEMBRE!$J$21:$J$32,$B38)+SUMIFS(OTTOBRE!$K$21:$K$32,OTTOBRE!$J$21:$J$32,$B38)+SUMIFS(NOVEMBRE!$K$21:$K$32,NOVEMBRE!$J$21:$J$32,$B38)+SUMIFS(DICEMBRE!$K$21:$K$32,DICEMBRE!$J$21:$J$32,$B38),"")</f>
        <v/>
      </c>
      <c r="D38" s="14" t="n"/>
    </row>
    <row r="39">
      <c r="B39" s="77">
        <f>IFERROR(SETUP!$G$13,"")</f>
        <v/>
      </c>
      <c r="C39" s="78">
        <f>IF(B39&lt;&gt;"",SUMIFS(GENNAIO!$K$21:$K$32,GENNAIO!$J$21:$J$32,$B39)+SUMIFS(FEBBRAIO!$K$21:$K$32,FEBBRAIO!$J$21:$J$32,$B39)+SUMIFS(MARZO!$K$21:$K$32,MARZO!$J$21:$J$32,$B39)+SUMIFS(APRILE!$K$21:$K$32,APRILE!$J$21:$J$32,$B39)+SUMIFS(MAGGIO!$K$21:$K$32,MAGGIO!$J$21:$J$32,$B39)+SUMIFS(GIUGNO!$K$21:$K$32,GIUGNO!$J$21:$J$32,$B39)+SUMIFS(LUGLIO!$K$21:$K$32,LUGLIO!$J$21:$J$32,$B39)+SUMIFS(AGOSTO!$K$21:$K$32,AGOSTO!$J$21:$J$32,$B39)+SUMIFS(SETTEMBRE!$K$21:$K$32,SETTEMBRE!$J$21:$J$32,$B39)+SUMIFS(OTTOBRE!$K$21:$K$32,OTTOBRE!$J$21:$J$32,$B39)+SUMIFS(NOVEMBRE!$K$21:$K$32,NOVEMBRE!$J$21:$J$32,$B39)+SUMIFS(DICEMBRE!$K$21:$K$32,DICEMBRE!$J$21:$J$32,$B39),"")</f>
        <v/>
      </c>
      <c r="D39" s="79" t="n"/>
    </row>
    <row r="40">
      <c r="B40" s="75">
        <f>IFERROR(SETUP!$G$14,"")</f>
        <v/>
      </c>
      <c r="C40" s="76">
        <f>IF(B40&lt;&gt;"",SUMIFS(GENNAIO!$K$21:$K$32,GENNAIO!$J$21:$J$32,$B40)+SUMIFS(FEBBRAIO!$K$21:$K$32,FEBBRAIO!$J$21:$J$32,$B40)+SUMIFS(MARZO!$K$21:$K$32,MARZO!$J$21:$J$32,$B40)+SUMIFS(APRILE!$K$21:$K$32,APRILE!$J$21:$J$32,$B40)+SUMIFS(MAGGIO!$K$21:$K$32,MAGGIO!$J$21:$J$32,$B40)+SUMIFS(GIUGNO!$K$21:$K$32,GIUGNO!$J$21:$J$32,$B40)+SUMIFS(LUGLIO!$K$21:$K$32,LUGLIO!$J$21:$J$32,$B40)+SUMIFS(AGOSTO!$K$21:$K$32,AGOSTO!$J$21:$J$32,$B40)+SUMIFS(SETTEMBRE!$K$21:$K$32,SETTEMBRE!$J$21:$J$32,$B40)+SUMIFS(OTTOBRE!$K$21:$K$32,OTTOBRE!$J$21:$J$32,$B40)+SUMIFS(NOVEMBRE!$K$21:$K$32,NOVEMBRE!$J$21:$J$32,$B40)+SUMIFS(DICEMBRE!$K$21:$K$32,DICEMBRE!$J$21:$J$32,$B40),"")</f>
        <v/>
      </c>
      <c r="D40" s="14" t="n"/>
    </row>
    <row r="41">
      <c r="B41" s="77">
        <f>IFERROR(SETUP!$G$15,"")</f>
        <v/>
      </c>
      <c r="C41" s="78">
        <f>IF(B41&lt;&gt;"",SUMIFS(GENNAIO!$K$21:$K$32,GENNAIO!$J$21:$J$32,$B41)+SUMIFS(FEBBRAIO!$K$21:$K$32,FEBBRAIO!$J$21:$J$32,$B41)+SUMIFS(MARZO!$K$21:$K$32,MARZO!$J$21:$J$32,$B41)+SUMIFS(APRILE!$K$21:$K$32,APRILE!$J$21:$J$32,$B41)+SUMIFS(MAGGIO!$K$21:$K$32,MAGGIO!$J$21:$J$32,$B41)+SUMIFS(GIUGNO!$K$21:$K$32,GIUGNO!$J$21:$J$32,$B41)+SUMIFS(LUGLIO!$K$21:$K$32,LUGLIO!$J$21:$J$32,$B41)+SUMIFS(AGOSTO!$K$21:$K$32,AGOSTO!$J$21:$J$32,$B41)+SUMIFS(SETTEMBRE!$K$21:$K$32,SETTEMBRE!$J$21:$J$32,$B41)+SUMIFS(OTTOBRE!$K$21:$K$32,OTTOBRE!$J$21:$J$32,$B41)+SUMIFS(NOVEMBRE!$K$21:$K$32,NOVEMBRE!$J$21:$J$32,$B41)+SUMIFS(DICEMBRE!$K$21:$K$32,DICEMBRE!$J$21:$J$32,$B41),"")</f>
        <v/>
      </c>
      <c r="D41" s="79" t="n"/>
    </row>
    <row r="42">
      <c r="B42" s="75">
        <f>IFERROR(SETUP!$G$16,"")</f>
        <v/>
      </c>
      <c r="C42" s="76">
        <f>IF(B42&lt;&gt;"",SUMIFS(GENNAIO!$K$21:$K$32,GENNAIO!$J$21:$J$32,$B42)+SUMIFS(FEBBRAIO!$K$21:$K$32,FEBBRAIO!$J$21:$J$32,$B42)+SUMIFS(MARZO!$K$21:$K$32,MARZO!$J$21:$J$32,$B42)+SUMIFS(APRILE!$K$21:$K$32,APRILE!$J$21:$J$32,$B42)+SUMIFS(MAGGIO!$K$21:$K$32,MAGGIO!$J$21:$J$32,$B42)+SUMIFS(GIUGNO!$K$21:$K$32,GIUGNO!$J$21:$J$32,$B42)+SUMIFS(LUGLIO!$K$21:$K$32,LUGLIO!$J$21:$J$32,$B42)+SUMIFS(AGOSTO!$K$21:$K$32,AGOSTO!$J$21:$J$32,$B42)+SUMIFS(SETTEMBRE!$K$21:$K$32,SETTEMBRE!$J$21:$J$32,$B42)+SUMIFS(OTTOBRE!$K$21:$K$32,OTTOBRE!$J$21:$J$32,$B42)+SUMIFS(NOVEMBRE!$K$21:$K$32,NOVEMBRE!$J$21:$J$32,$B42)+SUMIFS(DICEMBRE!$K$21:$K$32,DICEMBRE!$J$21:$J$32,$B42),"")</f>
        <v/>
      </c>
      <c r="D42" s="14" t="n"/>
    </row>
    <row r="43">
      <c r="B43" s="80" t="inlineStr">
        <is>
          <t>TOTALE ACCANTONATO</t>
        </is>
      </c>
      <c r="C43" s="81">
        <f>SUM(C30:C42)</f>
        <v/>
      </c>
    </row>
    <row r="45" ht="8" customHeight="1"/>
    <row r="46">
      <c r="B46" s="11" t="inlineStr">
        <is>
          <t>DATI GRAFICO — Seleziona B47:F59 &gt; Inserisci &gt; Grafico &gt; Linee</t>
        </is>
      </c>
    </row>
    <row r="47">
      <c r="B47" s="12" t="inlineStr">
        <is>
          <t>MESE</t>
        </is>
      </c>
      <c r="C47" s="12" t="inlineStr">
        <is>
          <t>ENTRATE NETTE</t>
        </is>
      </c>
      <c r="D47" s="12" t="inlineStr">
        <is>
          <t>USCITE EFFETTIVE</t>
        </is>
      </c>
      <c r="E47" s="12" t="inlineStr">
        <is>
          <t>ACCANTONAMENTI</t>
        </is>
      </c>
      <c r="F47" s="12" t="inlineStr">
        <is>
          <t>SPESE PROGRAMMATE</t>
        </is>
      </c>
    </row>
    <row r="48">
      <c r="B48" s="75" t="inlineStr">
        <is>
          <t>GENNAIO</t>
        </is>
      </c>
      <c r="C48" s="55">
        <f>GENNAIO!K5</f>
        <v/>
      </c>
      <c r="D48" s="55">
        <f>GENNAIO!K9</f>
        <v/>
      </c>
      <c r="E48" s="55">
        <f>GENNAIO!K13</f>
        <v/>
      </c>
      <c r="F48" s="55">
        <f>GENNAIO!K10</f>
        <v/>
      </c>
    </row>
    <row r="49">
      <c r="B49" s="82" t="inlineStr">
        <is>
          <t>FEBBRAIO</t>
        </is>
      </c>
      <c r="C49" s="59">
        <f>FEBBRAIO!K5</f>
        <v/>
      </c>
      <c r="D49" s="59">
        <f>FEBBRAIO!K9</f>
        <v/>
      </c>
      <c r="E49" s="59">
        <f>FEBBRAIO!K13</f>
        <v/>
      </c>
      <c r="F49" s="59">
        <f>FEBBRAIO!K10</f>
        <v/>
      </c>
    </row>
    <row r="50">
      <c r="B50" s="75" t="inlineStr">
        <is>
          <t>MARZO</t>
        </is>
      </c>
      <c r="C50" s="55">
        <f>MARZO!K5</f>
        <v/>
      </c>
      <c r="D50" s="55">
        <f>MARZO!K9</f>
        <v/>
      </c>
      <c r="E50" s="55">
        <f>MARZO!K13</f>
        <v/>
      </c>
      <c r="F50" s="55">
        <f>MARZO!K10</f>
        <v/>
      </c>
    </row>
    <row r="51">
      <c r="B51" s="82" t="inlineStr">
        <is>
          <t>APRILE</t>
        </is>
      </c>
      <c r="C51" s="59">
        <f>APRILE!K5</f>
        <v/>
      </c>
      <c r="D51" s="59">
        <f>APRILE!K9</f>
        <v/>
      </c>
      <c r="E51" s="59">
        <f>APRILE!K13</f>
        <v/>
      </c>
      <c r="F51" s="59">
        <f>APRILE!K10</f>
        <v/>
      </c>
    </row>
    <row r="52">
      <c r="B52" s="75" t="inlineStr">
        <is>
          <t>MAGGIO</t>
        </is>
      </c>
      <c r="C52" s="55">
        <f>MAGGIO!K5</f>
        <v/>
      </c>
      <c r="D52" s="55">
        <f>MAGGIO!K9</f>
        <v/>
      </c>
      <c r="E52" s="55">
        <f>MAGGIO!K13</f>
        <v/>
      </c>
      <c r="F52" s="55">
        <f>MAGGIO!K10</f>
        <v/>
      </c>
    </row>
    <row r="53">
      <c r="B53" s="82" t="inlineStr">
        <is>
          <t>GIUGNO</t>
        </is>
      </c>
      <c r="C53" s="59">
        <f>GIUGNO!K5</f>
        <v/>
      </c>
      <c r="D53" s="59">
        <f>GIUGNO!K9</f>
        <v/>
      </c>
      <c r="E53" s="59">
        <f>GIUGNO!K13</f>
        <v/>
      </c>
      <c r="F53" s="59">
        <f>GIUGNO!K10</f>
        <v/>
      </c>
    </row>
    <row r="54">
      <c r="B54" s="75" t="inlineStr">
        <is>
          <t>LUGLIO</t>
        </is>
      </c>
      <c r="C54" s="55">
        <f>LUGLIO!K5</f>
        <v/>
      </c>
      <c r="D54" s="55">
        <f>LUGLIO!K9</f>
        <v/>
      </c>
      <c r="E54" s="55">
        <f>LUGLIO!K13</f>
        <v/>
      </c>
      <c r="F54" s="55">
        <f>LUGLIO!K10</f>
        <v/>
      </c>
    </row>
    <row r="55">
      <c r="B55" s="82" t="inlineStr">
        <is>
          <t>AGOSTO</t>
        </is>
      </c>
      <c r="C55" s="59">
        <f>AGOSTO!K5</f>
        <v/>
      </c>
      <c r="D55" s="59">
        <f>AGOSTO!K9</f>
        <v/>
      </c>
      <c r="E55" s="59">
        <f>AGOSTO!K13</f>
        <v/>
      </c>
      <c r="F55" s="59">
        <f>AGOSTO!K10</f>
        <v/>
      </c>
    </row>
    <row r="56">
      <c r="B56" s="75" t="inlineStr">
        <is>
          <t>SETTEMBRE</t>
        </is>
      </c>
      <c r="C56" s="55">
        <f>SETTEMBRE!K5</f>
        <v/>
      </c>
      <c r="D56" s="55">
        <f>SETTEMBRE!K9</f>
        <v/>
      </c>
      <c r="E56" s="55">
        <f>SETTEMBRE!K13</f>
        <v/>
      </c>
      <c r="F56" s="55">
        <f>SETTEMBRE!K10</f>
        <v/>
      </c>
    </row>
    <row r="57">
      <c r="B57" s="82" t="inlineStr">
        <is>
          <t>OTTOBRE</t>
        </is>
      </c>
      <c r="C57" s="59">
        <f>OTTOBRE!K5</f>
        <v/>
      </c>
      <c r="D57" s="59">
        <f>OTTOBRE!K9</f>
        <v/>
      </c>
      <c r="E57" s="59">
        <f>OTTOBRE!K13</f>
        <v/>
      </c>
      <c r="F57" s="59">
        <f>OTTOBRE!K10</f>
        <v/>
      </c>
    </row>
    <row r="58">
      <c r="B58" s="75" t="inlineStr">
        <is>
          <t>NOVEMBRE</t>
        </is>
      </c>
      <c r="C58" s="55">
        <f>NOVEMBRE!K5</f>
        <v/>
      </c>
      <c r="D58" s="55">
        <f>NOVEMBRE!K9</f>
        <v/>
      </c>
      <c r="E58" s="55">
        <f>NOVEMBRE!K13</f>
        <v/>
      </c>
      <c r="F58" s="55">
        <f>NOVEMBRE!K10</f>
        <v/>
      </c>
    </row>
    <row r="59">
      <c r="B59" s="82" t="inlineStr">
        <is>
          <t>DICEMBRE</t>
        </is>
      </c>
      <c r="C59" s="59">
        <f>DICEMBRE!K5</f>
        <v/>
      </c>
      <c r="D59" s="59">
        <f>DICEMBRE!K9</f>
        <v/>
      </c>
      <c r="E59" s="59">
        <f>DICEMBRE!K13</f>
        <v/>
      </c>
      <c r="F59" s="59">
        <f>DICEMBRE!K10</f>
        <v/>
      </c>
    </row>
    <row r="61">
      <c r="B61" s="83" t="inlineStr">
        <is>
          <t>Colori: Entrate #27AE60 verde  |  Uscite #C0392B rosso  |  Accantonamenti #8E44AD viola  |  Programmate #95A5A6 grigio</t>
        </is>
      </c>
    </row>
    <row r="63" ht="8" customHeight="1"/>
    <row r="64">
      <c r="B64" s="11" t="inlineStr">
        <is>
          <t>KPI CLIENTI</t>
        </is>
      </c>
    </row>
    <row r="65">
      <c r="B65" s="36" t="inlineStr">
        <is>
          <t>Cliente Top Anno</t>
        </is>
      </c>
      <c r="C65" s="84">
        <f>IFERROR(CLIENTI!C28,"—")</f>
        <v/>
      </c>
    </row>
    <row r="66">
      <c r="B66" s="36" t="inlineStr">
        <is>
          <t>Dipendenza % principale</t>
        </is>
      </c>
      <c r="C66" s="85">
        <f>IFERROR(CLIENTI!C29,0)</f>
        <v/>
      </c>
    </row>
    <row r="67">
      <c r="B67" s="36" t="inlineStr">
        <is>
          <t>N. Clienti Attivi</t>
        </is>
      </c>
      <c r="C67" s="86">
        <f>IFERROR(CLIENTI!C30,0)</f>
        <v/>
      </c>
    </row>
    <row r="69" ht="8" customHeight="1"/>
    <row r="70">
      <c r="B70" s="11" t="inlineStr">
        <is>
          <t>CRYPTO TRACKER</t>
        </is>
      </c>
    </row>
    <row r="71">
      <c r="B71" s="12" t="inlineStr">
        <is>
          <t>ASSET</t>
        </is>
      </c>
      <c r="C71" s="12" t="inlineStr">
        <is>
          <t>QUANTITA</t>
        </is>
      </c>
      <c r="D71" s="12" t="inlineStr">
        <is>
          <t>PREZZO MEDIO</t>
        </is>
      </c>
      <c r="E71" s="12" t="inlineStr">
        <is>
          <t>PREZZO LIVE</t>
        </is>
      </c>
      <c r="F71" s="12" t="inlineStr">
        <is>
          <t>VALORE ATTUALE</t>
        </is>
      </c>
      <c r="G71" s="12" t="inlineStr">
        <is>
          <t>P/L €</t>
        </is>
      </c>
      <c r="H71" s="12" t="inlineStr">
        <is>
          <t>P/L %</t>
        </is>
      </c>
    </row>
    <row r="72">
      <c r="B72" s="87" t="inlineStr">
        <is>
          <t>BTC</t>
        </is>
      </c>
      <c r="C72" s="88" t="n"/>
      <c r="D72" s="88" t="n"/>
      <c r="E72" s="55">
        <f>GOOGLEFINANCE("CURRENCY:BTCEUR")</f>
        <v/>
      </c>
      <c r="F72" s="55">
        <f>C72*E72</f>
        <v/>
      </c>
      <c r="G72" s="55">
        <f>F72-(C72*D72)</f>
        <v/>
      </c>
      <c r="H72" s="89">
        <f>IFERROR((F72-(C72*D72))/(C72*D72),0)</f>
        <v/>
      </c>
    </row>
    <row r="73">
      <c r="B73" s="90" t="inlineStr">
        <is>
          <t>ETH</t>
        </is>
      </c>
      <c r="C73" s="91" t="n"/>
      <c r="D73" s="91" t="n"/>
      <c r="E73" s="59">
        <f>GOOGLEFINANCE("CURRENCY:ETHEUR")</f>
        <v/>
      </c>
      <c r="F73" s="59">
        <f>C73*E73</f>
        <v/>
      </c>
      <c r="G73" s="59">
        <f>F73-(C73*D73)</f>
        <v/>
      </c>
      <c r="H73" s="92">
        <f>IFERROR((F73-(C73*D73))/(C73*D73),0)</f>
        <v/>
      </c>
    </row>
  </sheetData>
  <mergeCells count="8">
    <mergeCell ref="B2:G2"/>
    <mergeCell ref="B28:D28"/>
    <mergeCell ref="B1:H1"/>
    <mergeCell ref="B70:H70"/>
    <mergeCell ref="B46:F46"/>
    <mergeCell ref="B12:G12"/>
    <mergeCell ref="B4:C4"/>
    <mergeCell ref="B64:D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2026-05-07T17:37:50Z</dcterms:created>
  <dcterms:modified xmlns:dcterms="http://purl.org/dc/terms/" xmlns:xsi="http://www.w3.org/2001/XMLSchema-instance" xsi:type="dcterms:W3CDTF">2026-05-07T17:37:51Z</dcterms:modified>
</cp:coreProperties>
</file>