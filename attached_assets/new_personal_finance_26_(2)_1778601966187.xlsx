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NAIO" sheetId="1" r:id="rId4"/>
    <sheet state="visible" name="FEBBRAIO" sheetId="2" r:id="rId5"/>
    <sheet state="visible" name="MARZO" sheetId="3" r:id="rId6"/>
    <sheet state="visible" name="APRILE" sheetId="4" r:id="rId7"/>
    <sheet state="visible" name="MAGGIO" sheetId="5" r:id="rId8"/>
    <sheet state="visible" name="GIUGNO" sheetId="6" r:id="rId9"/>
    <sheet state="visible" name="LUGLIO" sheetId="7" r:id="rId10"/>
    <sheet state="visible" name="AGOSTO" sheetId="8" r:id="rId11"/>
    <sheet state="visible" name="SETTEMBRE" sheetId="9" r:id="rId12"/>
    <sheet state="visible" name="OTTOBRE" sheetId="10" r:id="rId13"/>
    <sheet state="visible" name="NOVEMBRE" sheetId="11" r:id="rId14"/>
    <sheet state="visible" name="DICEMBRE" sheetId="12" r:id="rId15"/>
    <sheet state="visible" name="DASHBOARD" sheetId="13" r:id="rId16"/>
    <sheet state="visible" name="INVESTIMENTI" sheetId="14" r:id="rId17"/>
    <sheet state="visible" name="SETUP" sheetId="15" r:id="rId18"/>
  </sheets>
  <definedNames/>
  <calcPr/>
  <extLst>
    <ext uri="GoogleSheetsCustomDataVersion2">
      <go:sheetsCustomData xmlns:go="http://customooxmlschemas.google.com/" r:id="rId19" roundtripDataChecksum="Ooa/N+GWMghADsl+9hW5RWr1Mg4H9PSxXA4oX4gHRms="/>
    </ext>
  </extLst>
</workbook>
</file>

<file path=xl/sharedStrings.xml><?xml version="1.0" encoding="utf-8"?>
<sst xmlns="http://schemas.openxmlformats.org/spreadsheetml/2006/main" count="1952" uniqueCount="557">
  <si>
    <t>GENNAIO 2026</t>
  </si>
  <si>
    <t>Il tuo netto reale spendibile questo mese</t>
  </si>
  <si>
    <t>FATTURATO P.IVA</t>
  </si>
  <si>
    <t>DA ACCANTONARE</t>
  </si>
  <si>
    <t>STATO MESE</t>
  </si>
  <si>
    <t>🎯 RIEPILOGO MESE</t>
  </si>
  <si>
    <t>💰  ENTRATE</t>
  </si>
  <si>
    <t>🟢 ENTRATE INCASSATE</t>
  </si>
  <si>
    <t>CLIENTE / FONTE</t>
  </si>
  <si>
    <t>LORDO €</t>
  </si>
  <si>
    <t>TIPO</t>
  </si>
  <si>
    <t>CON SOCIO?</t>
  </si>
  <si>
    <t>TASSE 5%</t>
  </si>
  <si>
    <t>INPS SOCIO</t>
  </si>
  <si>
    <t>STATO</t>
  </si>
  <si>
    <t>Fatturato P.IVA</t>
  </si>
  <si>
    <t>FRUTTETO</t>
  </si>
  <si>
    <t>ENTRATA PRIVATA (no tasse)</t>
  </si>
  <si>
    <t>NO</t>
  </si>
  <si>
    <t>INCASSATO</t>
  </si>
  <si>
    <t>Entrate Private</t>
  </si>
  <si>
    <t>PIADINA</t>
  </si>
  <si>
    <t>FATTURA P.IVA</t>
  </si>
  <si>
    <t>SI</t>
  </si>
  <si>
    <t>🔵 ENTRATE PREVISTE</t>
  </si>
  <si>
    <t>GOBBO</t>
  </si>
  <si>
    <t>Fatturato emesso</t>
  </si>
  <si>
    <t>RUBIERA</t>
  </si>
  <si>
    <t>Pipeline programmata</t>
  </si>
  <si>
    <t>RIKY</t>
  </si>
  <si>
    <t>Entrate Private previste</t>
  </si>
  <si>
    <t>REGALI</t>
  </si>
  <si>
    <t>💰 TASSE &amp; INPS</t>
  </si>
  <si>
    <t xml:space="preserve">PIADA </t>
  </si>
  <si>
    <t>Tasse 5%</t>
  </si>
  <si>
    <t>INPS Fisso (artig.)</t>
  </si>
  <si>
    <t>INPS Socio (sim.)</t>
  </si>
  <si>
    <t>📤 USCITE &amp; SAVING</t>
  </si>
  <si>
    <t>Tuo Netto P.IVA</t>
  </si>
  <si>
    <t>Uscite effettive</t>
  </si>
  <si>
    <t>Totale Secchielli</t>
  </si>
  <si>
    <t>✨ NETTO REALE</t>
  </si>
  <si>
    <t>TOTALE ENTRATE</t>
  </si>
  <si>
    <t>💸  USCITE</t>
  </si>
  <si>
    <t>CATEGORIA</t>
  </si>
  <si>
    <t>DESCRIZIONE</t>
  </si>
  <si>
    <t>IMPORTO €</t>
  </si>
  <si>
    <t>DATA</t>
  </si>
  <si>
    <t>PAGATO?</t>
  </si>
  <si>
    <t>NOTE</t>
  </si>
  <si>
    <t>SVAGO</t>
  </si>
  <si>
    <t>Bar</t>
  </si>
  <si>
    <t>capodanno</t>
  </si>
  <si>
    <t>bere</t>
  </si>
  <si>
    <t>Bere</t>
  </si>
  <si>
    <t>AUTO</t>
  </si>
  <si>
    <t>Gomme e convergenza</t>
  </si>
  <si>
    <t>Poke</t>
  </si>
  <si>
    <t>cintura e manutenzione</t>
  </si>
  <si>
    <t>benzina</t>
  </si>
  <si>
    <t>serata dema</t>
  </si>
  <si>
    <t>Piada</t>
  </si>
  <si>
    <t>Birra</t>
  </si>
  <si>
    <t>Regalo Nada</t>
  </si>
  <si>
    <t>BUSINESS</t>
  </si>
  <si>
    <t>Sponsor Coeso</t>
  </si>
  <si>
    <t>Mangiare fuori</t>
  </si>
  <si>
    <t>Autostrada</t>
  </si>
  <si>
    <t>canva ( scad 19/12/26)</t>
  </si>
  <si>
    <t>cupcut (scad 23/12/26)</t>
  </si>
  <si>
    <t>google business mensile</t>
  </si>
  <si>
    <t>Assicurazione auto annuale (scad 12/01)</t>
  </si>
  <si>
    <t>TOTALE USCITE EFFETTIVE</t>
  </si>
  <si>
    <t>VERSATO</t>
  </si>
  <si>
    <t>🪣  SECCHIELLI / SAVING (PAC, fondi, investimenti)</t>
  </si>
  <si>
    <t>OBIETTIVO / SECCHIELLO</t>
  </si>
  <si>
    <t>FEE/SPREAD €</t>
  </si>
  <si>
    <t>VERSATO?</t>
  </si>
  <si>
    <t>PAC 1 — Mediolanum Cina</t>
  </si>
  <si>
    <t>PAC 2 — Mediolanum India</t>
  </si>
  <si>
    <t>Polizza Vita Mediolanum</t>
  </si>
  <si>
    <t>QUOTA SOCIO — conguaglio</t>
  </si>
  <si>
    <t>INPS Trimestrale (acconto)</t>
  </si>
  <si>
    <t>TOTALE SECCHIELLI (+ fee)</t>
  </si>
  <si>
    <t>FEBBRAIO 2026</t>
  </si>
  <si>
    <t xml:space="preserve">PIADINA </t>
  </si>
  <si>
    <t>bar</t>
  </si>
  <si>
    <t>Template Adv metà</t>
  </si>
  <si>
    <t>Benza</t>
  </si>
  <si>
    <t>carburante</t>
  </si>
  <si>
    <t>principe</t>
  </si>
  <si>
    <t>bar principe</t>
  </si>
  <si>
    <t>OBBLIGATORIE</t>
  </si>
  <si>
    <t>luciano riva barbiere</t>
  </si>
  <si>
    <t>attack</t>
  </si>
  <si>
    <t>bere sali</t>
  </si>
  <si>
    <t>piada</t>
  </si>
  <si>
    <t>boh</t>
  </si>
  <si>
    <t>benza furgone x milano</t>
  </si>
  <si>
    <t>cena milano</t>
  </si>
  <si>
    <t>casual italia</t>
  </si>
  <si>
    <t>chef express</t>
  </si>
  <si>
    <t>SALUTE</t>
  </si>
  <si>
    <t>farmacia preti</t>
  </si>
  <si>
    <t>luci coeso</t>
  </si>
  <si>
    <t>open ai</t>
  </si>
  <si>
    <t>MARZO 2026</t>
  </si>
  <si>
    <t>DNG</t>
  </si>
  <si>
    <t>ROBE</t>
  </si>
  <si>
    <t>DONG</t>
  </si>
  <si>
    <t>schermo</t>
  </si>
  <si>
    <t>KLING IA</t>
  </si>
  <si>
    <t>pasqua</t>
  </si>
  <si>
    <t>Colazione</t>
  </si>
  <si>
    <t>Replit</t>
  </si>
  <si>
    <t>Cena</t>
  </si>
  <si>
    <t>Tabacchi</t>
  </si>
  <si>
    <t>Batteria moto nuova</t>
  </si>
  <si>
    <t>spesa</t>
  </si>
  <si>
    <t>prese ODB</t>
  </si>
  <si>
    <t>tappetino uffcio</t>
  </si>
  <si>
    <t>gobbo</t>
  </si>
  <si>
    <t>compleanno</t>
  </si>
  <si>
    <t>cena</t>
  </si>
  <si>
    <t>k2</t>
  </si>
  <si>
    <t>italghisa</t>
  </si>
  <si>
    <t>REPLIT</t>
  </si>
  <si>
    <t>PRINCIPE</t>
  </si>
  <si>
    <t>confesercenti</t>
  </si>
  <si>
    <t>APRILE 2026</t>
  </si>
  <si>
    <t>FROZEN</t>
  </si>
  <si>
    <t>ELEVEN</t>
  </si>
  <si>
    <t>FATTURATO</t>
  </si>
  <si>
    <t>ORIOKY</t>
  </si>
  <si>
    <t>BARBOLINI</t>
  </si>
  <si>
    <t>Mima</t>
  </si>
  <si>
    <t>Puff</t>
  </si>
  <si>
    <t>profumo</t>
  </si>
  <si>
    <t>birra</t>
  </si>
  <si>
    <t>pizza</t>
  </si>
  <si>
    <t>bingo</t>
  </si>
  <si>
    <t>gioco bmx street</t>
  </si>
  <si>
    <t>Cibo</t>
  </si>
  <si>
    <t>Scarpe</t>
  </si>
  <si>
    <t>Mouse</t>
  </si>
  <si>
    <t>Kart</t>
  </si>
  <si>
    <t>autogril</t>
  </si>
  <si>
    <t>cristallo</t>
  </si>
  <si>
    <t>griffin irish pub</t>
  </si>
  <si>
    <t>basr prinipe</t>
  </si>
  <si>
    <t>grucho</t>
  </si>
  <si>
    <t>replit</t>
  </si>
  <si>
    <t>bar la stazione snc</t>
  </si>
  <si>
    <t>store</t>
  </si>
  <si>
    <t>Cristallo</t>
  </si>
  <si>
    <t>caffe martini</t>
  </si>
  <si>
    <t>autostrade</t>
  </si>
  <si>
    <t>kokonuts bnere</t>
  </si>
  <si>
    <t>bottega dei briganti</t>
  </si>
  <si>
    <t>bacca di caffe</t>
  </si>
  <si>
    <t>benza scooter</t>
  </si>
  <si>
    <t>mc</t>
  </si>
  <si>
    <t>MAGGIO 2026</t>
  </si>
  <si>
    <t xml:space="preserve">ORIOKY </t>
  </si>
  <si>
    <t>MOTO</t>
  </si>
  <si>
    <t>Gobbo con Dema</t>
  </si>
  <si>
    <t>PIADA</t>
  </si>
  <si>
    <t>Claude ( si rinnova)</t>
  </si>
  <si>
    <t>PROGRAMMATA</t>
  </si>
  <si>
    <t>barbiere</t>
  </si>
  <si>
    <t>BERE</t>
  </si>
  <si>
    <t>ADOBE</t>
  </si>
  <si>
    <t>ANTROPIC</t>
  </si>
  <si>
    <t>BAR</t>
  </si>
  <si>
    <t>TABACCHI</t>
  </si>
  <si>
    <t>CAFFE</t>
  </si>
  <si>
    <t>GOBBO con Dema</t>
  </si>
  <si>
    <t xml:space="preserve">Kebab </t>
  </si>
  <si>
    <t>Bollo auto</t>
  </si>
  <si>
    <t>ALTRO</t>
  </si>
  <si>
    <t>MOTO MECCANICO</t>
  </si>
  <si>
    <t>BOLLO MOTO</t>
  </si>
  <si>
    <t>DA VERSARE</t>
  </si>
  <si>
    <t>GIUGNO 2026</t>
  </si>
  <si>
    <t>PROGRAMMATO</t>
  </si>
  <si>
    <t xml:space="preserve">NEXTER </t>
  </si>
  <si>
    <t>LUGLIO 2026</t>
  </si>
  <si>
    <t xml:space="preserve">FRUTTETO </t>
  </si>
  <si>
    <t>AGOSTO 2026</t>
  </si>
  <si>
    <t>SETTEMBRE 2026</t>
  </si>
  <si>
    <t>OTTOBRE 2026</t>
  </si>
  <si>
    <t>NOVEMBRE 2026</t>
  </si>
  <si>
    <t>DICEMBRE 2026</t>
  </si>
  <si>
    <t>📊 DASHBOARD ANNO 2026</t>
  </si>
  <si>
    <t>Panoramica annuale: incassi, tasse, INPS, uscite, secchielli e netto reale</t>
  </si>
  <si>
    <t>FATTURATO P.IVA YTD</t>
  </si>
  <si>
    <t>ACCANTONATO YTD</t>
  </si>
  <si>
    <t>USCITE EFFETTIVE YTD</t>
  </si>
  <si>
    <t>NETTO REALE YTD</t>
  </si>
  <si>
    <t>📋  RIEPILOGO MESE PER MESE</t>
  </si>
  <si>
    <t>VOCE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</si>
  <si>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</si>
  <si>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</si>
  <si>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</si>
  <si>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</si>
  <si>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</si>
  <si>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</si>
  <si>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</si>
  <si>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</si>
  <si>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</si>
  <si>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</si>
  <si>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</si>
  <si>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</si>
  <si>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</t>
  </si>
  <si>
    <t>INPS Fisso (Artig.)</t>
  </si>
  <si>
    <t>Uscite Effettive</t>
  </si>
  <si>
    <t>Spese Programmate</t>
  </si>
  <si>
    <t>✨ SINTESI NETTO MENSILE</t>
  </si>
  <si>
    <t>NETTO LORDO MESE</t>
  </si>
  <si>
    <t>− INPS+Quota Socio</t>
  </si>
  <si>
    <t>✨ NETTO TUO (libero)</t>
  </si>
  <si>
    <t>NETTO REALE</t>
  </si>
  <si>
    <t>Proiezione netto (mese)</t>
  </si>
  <si>
    <t>Saving Rate</t>
  </si>
  <si>
    <t>🏷  SPESA PER CATEGORIA × MESE</t>
  </si>
  <si>
    <t>TOTALE USCITE</t>
  </si>
  <si>
    <t>📈  ANDAMENTO ANNUALE — Tuo Netto P.IVA, Uscite, Secchielli</t>
  </si>
  <si>
    <t>🪙  PORTAFOGLIO CRYPTO  •  prezzi live (GOOGLEFINANCE)</t>
  </si>
  <si>
    <t>ASSET</t>
  </si>
  <si>
    <t>QUANTITÀ</t>
  </si>
  <si>
    <t>PMC ($)</t>
  </si>
  <si>
    <t>INVESTITO ($)</t>
  </si>
  <si>
    <t>PREZZO LIVE ($)</t>
  </si>
  <si>
    <t>VALORE ATTUALE ($)</t>
  </si>
  <si>
    <t>PNL ($)</t>
  </si>
  <si>
    <t>PNL %</t>
  </si>
  <si>
    <t>VAR. 24H %</t>
  </si>
  <si>
    <t>₿  BTC</t>
  </si>
  <si>
    <t>Ξ  ETH</t>
  </si>
  <si>
    <t>(aggiungi asset qui...)</t>
  </si>
  <si>
    <t>TOTALE PORTAFOGLIO</t>
  </si>
  <si>
    <t>🛡  PILASTRI MONETARI — i tuoi 4 indicatori chiave</t>
  </si>
  <si>
    <t>🛡 FONDO EMERGENZA</t>
  </si>
  <si>
    <t>💰 TASSE ACCANTONATE YTD</t>
  </si>
  <si>
    <t>💳 SAVING RATE YTD</t>
  </si>
  <si>
    <t>📈 PATRIMONIO INVESTITO</t>
  </si>
  <si>
    <t>Tieni questi soldi su conto separato</t>
  </si>
  <si>
    <t>Crypto + PAC + ETF (escluso fondo emergenza)</t>
  </si>
  <si>
    <t>🪣  SECCHIELLI × MESE  —  vedi i tuoi obiettivi che si accumulano</t>
  </si>
  <si>
    <t>SECCHIELLO</t>
  </si>
  <si>
    <t>TOTALE SECCHIELLI</t>
  </si>
  <si>
    <t>🎯  Progress secchielli vs target annuale (modifica i target in SETUP colonna F)</t>
  </si>
  <si>
    <t>ACCUMULATO YTD</t>
  </si>
  <si>
    <t>TARGET ANNUO</t>
  </si>
  <si>
    <t>% COMPLETATO</t>
  </si>
  <si>
    <t>MANCA €</t>
  </si>
  <si>
    <t>STATUS</t>
  </si>
  <si>
    <t>💰  BUDGET vs SPESO  —  cosa puoi spendere per categoria</t>
  </si>
  <si>
    <t>BUDGET MENSILE €</t>
  </si>
  <si>
    <t>BUDGET ANNUO €</t>
  </si>
  <si>
    <t>SPESO YTD €</t>
  </si>
  <si>
    <t>MEDIA MENSILE €</t>
  </si>
  <si>
    <t>DIFFERENZA €</t>
  </si>
  <si>
    <t>% UTILIZZO</t>
  </si>
  <si>
    <t>🧠  REGOLE PSICOLOGICHE &amp; MEMO STRATEGICO</t>
  </si>
  <si>
    <t>1️⃣  PAY YOURSELF FIRST</t>
  </si>
  <si>
    <t>L'investimento NON è ciò che resta a fine mese: è la PRIMA spesa da fare appena incassi. Saving rate target 25%.</t>
  </si>
  <si>
    <t>2️⃣  SEPARAZIONE CONTI</t>
  </si>
  <si>
    <t>Conto privato per vita + secondo conto SOLO per accantonare tasse 5% e INPS appena fatturi. Mai mischiare.</t>
  </si>
  <si>
    <t>3️⃣  TEST DEL SONNO</t>
  </si>
  <si>
    <t>Non controllare crypto/ETF ogni giorno. La strategia si misura in anni, non in minuti. Apri questo foglio max 1x/settimana.</t>
  </si>
  <si>
    <t>4️⃣  CRYPTO SATELLITE</t>
  </si>
  <si>
    <t>Massimo 5% del patrimonio totale. Non aggiungere capitale ora — lascia correre quello che hai.</t>
  </si>
  <si>
    <t>5️⃣  MAXI RATA</t>
  </si>
  <si>
    <t>I surplus di fine anno (dopo aver accantonato tasse) → versamento extra su ETF, NON nuove spese voluttuarie.</t>
  </si>
  <si>
    <t>🎯  PIANO D'AZIONE — CONSOLIDAMENTO E CRESCITA (condensato)</t>
  </si>
  <si>
    <t>FASE 1 — La Fortezza</t>
  </si>
  <si>
    <t>Costruire fondo emergenza €6.000 su ETF monetario (XEON, TER 0,07%) o conto deposito 6 mesi. Priorità assoluta.</t>
  </si>
  <si>
    <t>FASE 2 — Ottimizzazione PAC→ETF</t>
  </si>
  <si>
    <t>Aprire broker (Trade Republic / Directa, sostituto d'imposta). Migrare i €150/mese dei PAC Mediolanum su ETF globale (VWCE TER 0,22% o IWDA TER 0,20%). Mix 70% azionario / 20% obbligazionario / 10% liquidità.</t>
  </si>
  <si>
    <t>FASE 3 — P.IVA Forfettario</t>
  </si>
  <si>
    <t>2 conti separati. ETF come pensione fai-da-te (no fondo pensione, non deducibile in forfettario). Bonifico automatico mensile + maxi rata di fine anno.</t>
  </si>
  <si>
    <t>RIVEDERE</t>
  </si>
  <si>
    <t>Polizza Vita Mediolanum €50/mese — verifica il KID: se è unit-linked → chiudere (alti costi), se è caso morte pura → ha senso solo con persone dipendenti.</t>
  </si>
  <si>
    <t>CRYPTO</t>
  </si>
  <si>
    <t>Mantenere come satellite, max 5% patrimonio. Non aggiungere capitale ora.</t>
  </si>
  <si>
    <t>🤝  CONGUAGLIO SOCIO FINE ANNO — quanto restituire (o trattenere)</t>
  </si>
  <si>
    <t>VALORE YTD</t>
  </si>
  <si>
    <t>Quota Socio trattenuta</t>
  </si>
  <si>
    <t>Somma INPS socio simulata trattenuta nei 12 mesi</t>
  </si>
  <si>
    <t>Soldi che hai trattenuto come 'INPS del socio'</t>
  </si>
  <si>
    <t>Tasse 5% reali tue</t>
  </si>
  <si>
    <t>Somma F29 (tasse) di tutti i mesi su INCASSATO</t>
  </si>
  <si>
    <t>Imposta sostitutiva 5% sull'imponibile incassato</t>
  </si>
  <si>
    <t>INPS fissa annua</t>
  </si>
  <si>
    <t>12 × €384,31 (rate trimestrali)</t>
  </si>
  <si>
    <t>Da pagare con F24 (4 rate)</t>
  </si>
  <si>
    <t>Totale tasse+INPS tue</t>
  </si>
  <si>
    <t>Quanto paghi davvero allo Stato in un anno</t>
  </si>
  <si>
    <t>✨ DIFFERENZA</t>
  </si>
  <si>
    <t>Quota Socio − Tasse+INPS reali</t>
  </si>
  <si>
    <t>Se POSITIVA: restituisci al socio. Se NEGATIVA: tieni tutto, anzi mancano soldi al fondo</t>
  </si>
  <si>
    <t>Status</t>
  </si>
  <si>
    <t>💰  INVESTIMENTI — PAC + ETF</t>
  </si>
  <si>
    <t>Anagrafica fondi attivi, costi reali, proiezioni e tracking ETF</t>
  </si>
  <si>
    <t>📚  COS'È UN PAC e perché controllare i costi</t>
  </si>
  <si>
    <t>Un PAC (Piano Accumulo Capitale) è un investimento periodico in un fondo: versi una somma fissa (es. €100/mese)</t>
  </si>
  <si>
    <t>che il gestore investe in azioni/obbligazioni. Pro: disciplina automatica, mediazione del rischio (DCA).</t>
  </si>
  <si>
    <t>⚠ COSTI NASCOSTI: i PAC delle banche italiane hanno tipicamente:</t>
  </si>
  <si>
    <t xml:space="preserve">  • 3% commissione di INGRESSO ogni versamento (€3 ogni €100)</t>
  </si>
  <si>
    <t xml:space="preserve">  • 2-3% TER ANNUO sul totale del NAV (commissione gestione che paghi ogni anno)</t>
  </si>
  <si>
    <t xml:space="preserve">  • Eventuale performance fee se il fondo va bene</t>
  </si>
  <si>
    <t>🆚 Per CONFRONTO un ETF passivo equivalente costa solo 0,2-0,7%/anno e 0% ingresso.</t>
  </si>
  <si>
    <t xml:space="preserve">    Su 10 anni, su 100€/mese, con il PAC paghi ~€4-5k di costi vs ~€500 con un ETF.</t>
  </si>
  <si>
    <t>📋  ANAGRAFICA PAC — dati dal KID</t>
  </si>
  <si>
    <t>NOME PAC (deve matchare il secchiello)</t>
  </si>
  <si>
    <t>ISIN</t>
  </si>
  <si>
    <t>% INGRESSO</t>
  </si>
  <si>
    <t>TER % (annuo)</t>
  </si>
  <si>
    <t>PERF FEE % (media)</t>
  </si>
  <si>
    <t>TER + PERF</t>
  </si>
  <si>
    <t>RIY 10y %</t>
  </si>
  <si>
    <t>IE00BJYLJ716</t>
  </si>
  <si>
    <t>Equity China</t>
  </si>
  <si>
    <t>Risk SRI 5/7. RHP 10y. Rend.netto moderato 2.89%.</t>
  </si>
  <si>
    <t>IE000K6M66I3</t>
  </si>
  <si>
    <t>Equity India</t>
  </si>
  <si>
    <t>Risk SRI 4/7. RHP 10y. Rend.netto moderato 9.05%.</t>
  </si>
  <si>
    <t>(aggiungi PAC qui — copia esattamente il nome del secchiello)</t>
  </si>
  <si>
    <t>▲▲▲  MAX PAC — aggiungi sopra (poi aggiorna anche SETUP secchielli)  ▲▲▲</t>
  </si>
  <si>
    <t>💸  COSTI PAC YTD — Quanto stai pagando davvero</t>
  </si>
  <si>
    <t>Confronto coi costi di un ETF passivo equivalente (TER 0.50%, 0% ingresso)</t>
  </si>
  <si>
    <t>PAC</t>
  </si>
  <si>
    <t>VERSATO YTD €</t>
  </si>
  <si>
    <t>FEE INGRESSO YTD €</t>
  </si>
  <si>
    <t>TER stim. YTD €</t>
  </si>
  <si>
    <t>TOTALE COSTI YTD €</t>
  </si>
  <si>
    <t>% su versato</t>
  </si>
  <si>
    <t>ETF eq. YTD €</t>
  </si>
  <si>
    <t>🩸 DIFFERENZA €</t>
  </si>
  <si>
    <t>💔 % overpay</t>
  </si>
  <si>
    <t>TOTALE TUTTI I PAC</t>
  </si>
  <si>
    <t>🔮  PROIEZIONE PAC — Se mantieni il ritmo attuale</t>
  </si>
  <si>
    <t>Mensile stim. €</t>
  </si>
  <si>
    <t>Versato 5y €</t>
  </si>
  <si>
    <t>Costi PAC 5y €</t>
  </si>
  <si>
    <t>Costi ETF 5y €</t>
  </si>
  <si>
    <t>🩸 Danno 5y €</t>
  </si>
  <si>
    <t>Versato 10y €</t>
  </si>
  <si>
    <t>Costi PAC 10y €</t>
  </si>
  <si>
    <t>🩸 Danno 10y €</t>
  </si>
  <si>
    <t>TOTALE PROIEZIONE</t>
  </si>
  <si>
    <t>💡  TAKE-AWAY PAC</t>
  </si>
  <si>
    <t>Costi extra rispetto a un ETF passivo equivalente, in 10 anni:</t>
  </si>
  <si>
    <t>🏦  ETF — Cos'è e come monitorarlo qui</t>
  </si>
  <si>
    <t>Un ETF (Exchange Traded Fund) è un fondo che replica un indice (es. S&amp;P 500, MSCI World) e si compra in</t>
  </si>
  <si>
    <t>Borsa come un'azione. Costi tipici: TER 0,05-0,7%/anno, 0% commissione ingresso (paghi solo il bid/ask</t>
  </si>
  <si>
    <t>spread del broker, in genere centesimi di euro). Niente performance fee, niente costi nascosti.</t>
  </si>
  <si>
    <t>🆚 Vantaggio rispetto ai PAC bancari: paghi 5-10× MENO in commissioni a parità di rischio.</t>
  </si>
  <si>
    <t>📋 ISTRUZIONI per aggiungere un ETF al tuo tracking:</t>
  </si>
  <si>
    <t xml:space="preserve">  1. Cerca il TICKER su Google Finance: es. VWCE → 'EPA:VWCE' (Euronext Paris) oppure 'BIT:VWCE' (Borsa Milano)</t>
  </si>
  <si>
    <t xml:space="preserve">  2. Recupera ISIN dal KIID/scheda prodotto del broker (es. IE00BK5BQT80 per VWCE)</t>
  </si>
  <si>
    <t xml:space="preserve">  3. Trova il TER nel KIID (di solito tra 0,05% e 0,7%)</t>
  </si>
  <si>
    <t xml:space="preserve">  4. Compila una riga in basso: nome, ISIN, ticker GF, broker, TER</t>
  </si>
  <si>
    <t xml:space="preserve">  5. Dopo ogni acquisto aggiorna QUANTITÀ e PMC (prezzo medio carico)</t>
  </si>
  <si>
    <t xml:space="preserve">  6. Il prezzo live e il PNL si calcolano automaticamente con GOOGLEFINANCE</t>
  </si>
  <si>
    <t>📊  ANAGRAFICA + HOLDINGS ETF — prezzi live (GOOGLEFINANCE)</t>
  </si>
  <si>
    <t>NOME ETF</t>
  </si>
  <si>
    <t>TICKER GOOGLEFIN.</t>
  </si>
  <si>
    <t>TER %</t>
  </si>
  <si>
    <t>PMC €</t>
  </si>
  <si>
    <t>INVESTITO €</t>
  </si>
  <si>
    <t>PREZZO LIVE</t>
  </si>
  <si>
    <t>VALORE / PNL</t>
  </si>
  <si>
    <t>(es. Vanguard FTSE All-World)</t>
  </si>
  <si>
    <t>(es. EPA:VWCE)</t>
  </si>
  <si>
    <t>(es. IE00BK5BQT80)</t>
  </si>
  <si>
    <t>TOTALE PORTAFOGLIO ETF</t>
  </si>
  <si>
    <t>⚙  SETUP — PARAMETRI FISCALI (modifica solo le celle gialle)</t>
  </si>
  <si>
    <t>Coefficiente Redditività</t>
  </si>
  <si>
    <t>78% per Artigiani — verifica codice ATECO</t>
  </si>
  <si>
    <t>Aliquota Imposta Sostitutiva</t>
  </si>
  <si>
    <t>5% primi 5 anni → poi 15%</t>
  </si>
  <si>
    <t>INPS Fisso Mensile (Artigiani)</t>
  </si>
  <si>
    <t>Rata 2026 ~€1.153/trim — €4.612/anno</t>
  </si>
  <si>
    <t>Soglia INPS Imponibile</t>
  </si>
  <si>
    <t>Oltre questa soglia scatta +24% extra</t>
  </si>
  <si>
    <t>Soglia INPS Lordo (=18415/0.78)</t>
  </si>
  <si>
    <t>Allarme contatore fatturato P.IVA annuo</t>
  </si>
  <si>
    <t>Aliquota INPS Eccedenza</t>
  </si>
  <si>
    <t>24% sull'imponibile oltre soglia</t>
  </si>
  <si>
    <t>Limite Regime Forfettario</t>
  </si>
  <si>
    <t>Soglia massima fatturato annuo</t>
  </si>
  <si>
    <t>Aliquota INPS Socio (simulata)</t>
  </si>
  <si>
    <t>26.07% Gestione Separata — usata nello split</t>
  </si>
  <si>
    <t>Target Fondo Emergenza</t>
  </si>
  <si>
    <t>Quanto vuoi accumulare nel secchiello FONDO EMERGENZA</t>
  </si>
  <si>
    <t>Target Saving Rate</t>
  </si>
  <si>
    <t>% del fatturato P.IVA da accantonare ogni mese (Pay yourself first)</t>
  </si>
  <si>
    <t>CATEGORIE SPESE</t>
  </si>
  <si>
    <t>SECCHIELLI / SAVING</t>
  </si>
  <si>
    <t>TARGET ANNUO €</t>
  </si>
  <si>
    <t>FONDO EMERGENZA</t>
  </si>
  <si>
    <t>VACANZE</t>
  </si>
  <si>
    <t>CASA</t>
  </si>
  <si>
    <t>PENSIONE</t>
  </si>
  <si>
    <t>ALIMENTARI</t>
  </si>
  <si>
    <t>FORMAZIONE</t>
  </si>
  <si>
    <t>INVESTIMENTO</t>
  </si>
  <si>
    <t>(vuoto — aggiungi qui)</t>
  </si>
  <si>
    <t>▲▲▲  MAX CATEGORIE — aggiungi sopra questa riga  ▲▲▲</t>
  </si>
  <si>
    <t>▲▲▲  MAX SECCHIELLI — aggiungi sopra questa riga  ▲▲▲</t>
  </si>
  <si>
    <t>📖  LINEE GUIDA — COME USARE QUESTO FOGLIO</t>
  </si>
  <si>
    <t>🏷  STATO FATTURE (col H nei fogli mese)</t>
  </si>
  <si>
    <t>Soldi sul conto. Calcola tasse, INPS, entra nei contatori 85k e INPS.</t>
  </si>
  <si>
    <t>Fattura emessa, cliente non ha ancora pagato. Visibile ma NON calcola tasse.</t>
  </si>
  <si>
    <t>Entrata pianificata, fattura non ancora emessa. Solo visualizzazione.</t>
  </si>
  <si>
    <t>💰  DA ACCANTONARE (in alto nel foglio mese)</t>
  </si>
  <si>
    <t>Formula</t>
  </si>
  <si>
    <t>Tasse 5% + INPS fissa €376,78. Soldi del FONDO TASSE da spostare nel bucket Revolut.</t>
  </si>
  <si>
    <t>Logica</t>
  </si>
  <si>
    <t>Solo tasse TUE reali. L'INPS socio va in un secchiello separato (vedi sotto).</t>
  </si>
  <si>
    <t>🤝  SECCHIELLO QUOTA SOCIO — conguaglio</t>
  </si>
  <si>
    <t>A cosa serve</t>
  </si>
  <si>
    <t>Quando trattieni l'INPS simulata del socio, quei soldi non sono tuoi.</t>
  </si>
  <si>
    <t>Auto-popolato</t>
  </si>
  <si>
    <t>Il valore = G25 (INPS simulata trattenuta del mese). Si compila da solo.</t>
  </si>
  <si>
    <t>A fine anno</t>
  </si>
  <si>
    <t>Confronti il totale accantonato con le tasse reali pagate (F24 + INPS fissa).</t>
  </si>
  <si>
    <t>Conguaglio</t>
  </si>
  <si>
    <t>Se trattenuto &gt; pagato → restituisci la differenza al socio con bonifico.</t>
  </si>
  <si>
    <t>Causale</t>
  </si>
  <si>
    <t>Bonifico con causale 'Conguaglio spese fiscali 2026' per tracciabilità.</t>
  </si>
  <si>
    <t>🪣  VERSATO? (nei secchielli)</t>
  </si>
  <si>
    <t>Soldi effettivamente spostati nel bucket Revolut.</t>
  </si>
  <si>
    <t>Quota pianificata ma non ancora spostata.</t>
  </si>
  <si>
    <t>💳  FLUSSO REVOLUT</t>
  </si>
  <si>
    <t>1.</t>
  </si>
  <si>
    <t>Incasso fattura → marca STATO=INCASSATO.</t>
  </si>
  <si>
    <t>2.</t>
  </si>
  <si>
    <t>Sposta DA ACCANTONARE nel bucket 'Tasse &amp; INPS'.</t>
  </si>
  <si>
    <t>3.</t>
  </si>
  <si>
    <t>Sposta INPS socio nel bucket 'Quota Socio'.</t>
  </si>
  <si>
    <t>4.</t>
  </si>
  <si>
    <t>Sposta quote secchielli nei bucket dedicati.</t>
  </si>
  <si>
    <t>5.</t>
  </si>
  <si>
    <t>Quello che rimane è il NETTO REALE — puoi spenderlo.</t>
  </si>
  <si>
    <t>6.</t>
  </si>
  <si>
    <t>Rate INPS F24 (18/5, 20/8, 16/11, 16/2): trasferisci 2-3 gg prima.</t>
  </si>
  <si>
    <t>⚠️  CONTATORI SOGLIA (Dashboard)</t>
  </si>
  <si>
    <t>€23.608</t>
  </si>
  <si>
    <t>Soglia INPS lordo. Oltre scatta INPS extra 24% sull'eccedenza.</t>
  </si>
  <si>
    <t>€85.000</t>
  </si>
  <si>
    <t>Limite forfettario. Oltre esci dal regime agevolato.</t>
  </si>
  <si>
    <t>📐  COME SI CALCOLANO I NUMERI — guida formule</t>
  </si>
  <si>
    <t>FORMULA</t>
  </si>
  <si>
    <t>🟢 ENTRATE</t>
  </si>
  <si>
    <t>Somma fatture P.IVA INCASSATE (sul conto)</t>
  </si>
  <si>
    <t>K92 = SUMPRODUCT((D15:D28="FATTURA P.IVA")*(H15:H28="INCASSATO")*C15:C28)</t>
  </si>
  <si>
    <t>Vendite usato/regali (no tasse) — solo incassate</t>
  </si>
  <si>
    <t>K91 = SUMIF(D15:D28, "ENTRATA PRIVATA (no tasse)", C15:C28)</t>
  </si>
  <si>
    <t>Stima entrate private future</t>
  </si>
  <si>
    <t>K108 = SUMIF(D15:D28, "ENTRATA PRIVATA PROGRAMMATA", C15:C28)</t>
  </si>
  <si>
    <t>Fatture P.IVA emesse non ancora pagate (FATTURATO)</t>
  </si>
  <si>
    <t>K106 = K99 - K92</t>
  </si>
  <si>
    <t>Fatture P.IVA da emettere/incassare</t>
  </si>
  <si>
    <t>K107 = K100 - K99</t>
  </si>
  <si>
    <t>Per fattura INCASSATA: lordo × 78% × 5%</t>
  </si>
  <si>
    <t>F29 = SUMPRODUCT con H=INCASSATO * C * SETUP!C4 * SETUP!C5</t>
  </si>
  <si>
    <t>Rata fissa Artigiani Forfettari</t>
  </si>
  <si>
    <t>SETUP!C6 = 384,31 € (€4.611,72/anno × 4 rate trim.)</t>
  </si>
  <si>
    <t>Se SOCIO=SI: lordo × 78% × 26,07%</t>
  </si>
  <si>
    <t>G29 = SUMPRODUCT con SOCIO=SI * INCASSATO * C * SETUP!C4 * SETUP!C11</t>
  </si>
  <si>
    <t>Da Accantonare (mese)</t>
  </si>
  <si>
    <t>Tasse mese + INPS fisso (obblighi allo Stato)</t>
  </si>
  <si>
    <t>K94 = F29 + SETUP!C6</t>
  </si>
  <si>
    <t>📤 USCITE &amp; SECCHIELLI</t>
  </si>
  <si>
    <t>Spese R33-R77 con PAGATO≠NO e ≠PROGRAMMATA</t>
  </si>
  <si>
    <t>D78 = SUMPRODUCT((F33:F77&lt;&gt;"NO")*(F33:F77&lt;&gt;"PROGRAMMATA")*D33:D77)</t>
  </si>
  <si>
    <t>Spese con PAGATO=PROGRAMMATA</t>
  </si>
  <si>
    <t>K104 = SUMIF(F33:F77, "PROGRAMMATA", D33:D77)</t>
  </si>
  <si>
    <t>Capitale versato + fee/spread</t>
  </si>
  <si>
    <t>C92 = SUM(C82:C91) + SUM(D82:D91)</t>
  </si>
  <si>
    <t>Fee PAC (per riga)</t>
  </si>
  <si>
    <t>Auto: importo × % spread da INVESTIMENTI</t>
  </si>
  <si>
    <t>D{r} = C{r} × VLOOKUP(B{r}, INVESTIMENTI!B23:E32, 4, FALSE)</t>
  </si>
  <si>
    <t>✨ I 3 LIVELLI DI NETTO</t>
  </si>
  <si>
    <t>Senza socio: lordo−tasse  •  Con socio: (lordo−tasse−INPS)/2</t>
  </si>
  <si>
    <t>K93 = SUMPRODUCT con IF(SOCIO=SI; (C-F-G)/2; C-F)</t>
  </si>
  <si>
    <t>Cosa entra in tasca: P.IVA + Private incassate</t>
  </si>
  <si>
    <t>Dashboard R32 = K93 + K91</t>
  </si>
  <si>
    <t>NETTO TUO (libero)</t>
  </si>
  <si>
    <t>Soldi tuoi disponibili (esclusi obblighi)</t>
  </si>
  <si>
    <t>Dashboard R34 = NETTO LORDO − INPS Fisso − Quota Socio</t>
  </si>
  <si>
    <t>Resta dopo PAC, polizza, secchielli, uscite</t>
  </si>
  <si>
    <t>B4 = K93 + K91 − K95 − K96</t>
  </si>
  <si>
    <t>Quanto risparmi rispetto al fatturato</t>
  </si>
  <si>
    <t>K97 = B4 / K92</t>
  </si>
  <si>
    <t>📊 PROIEZIONI ANNUALI</t>
  </si>
  <si>
    <t>Pipeline totale</t>
  </si>
  <si>
    <t>Tutte le fatture P.IVA (qualsiasi stato)</t>
  </si>
  <si>
    <t>K100 = SUMPRODUCT con D=FATTURA P.IVA</t>
  </si>
  <si>
    <t>Fatturato emesso totale</t>
  </si>
  <si>
    <t>INCASSATE + FATTURATE</t>
  </si>
  <si>
    <t>K99 = SUMPRODUCT con H≠PROGRAMMATO</t>
  </si>
  <si>
    <t>Proiezione netto</t>
  </si>
  <si>
    <t>Pipeline − spese programmate</t>
  </si>
  <si>
    <t>K105 = K100 − K104</t>
  </si>
  <si>
    <t>🤝 CONGUAGLIO SOCIO FINE ANNO</t>
  </si>
  <si>
    <t>Quota Socio YTD</t>
  </si>
  <si>
    <t>Somma G29 trattenuto in 12 mesi</t>
  </si>
  <si>
    <t>Dashboard conguaglio = SUM(GENNAIO:DICEMBRE!G29)</t>
  </si>
  <si>
    <t>Tasse+INPS reali tue</t>
  </si>
  <si>
    <t>Tasse 5% YTD + 12 × INPS fissa</t>
  </si>
  <si>
    <t>▸ =SUM(F29 mesi) + 12 × SETUP!C6</t>
  </si>
  <si>
    <t>DIFFERENZA conguaglio</t>
  </si>
  <si>
    <t>POSITIVA: restituisci al socio. NEGATIVA: paghi di tasca tua</t>
  </si>
  <si>
    <t>⚠ SOGLIE FISCALI</t>
  </si>
  <si>
    <t>Soglia INPS 23.608€</t>
  </si>
  <si>
    <t>Oltre, scatta INPS extra 24%</t>
  </si>
  <si>
    <t>Allarme se SUM(K92 mesi) &gt; SETUP!C8</t>
  </si>
  <si>
    <t>Limite forfettario 85k</t>
  </si>
  <si>
    <t>Oltre, esci dal regime agevolato</t>
  </si>
  <si>
    <t>Allarme se SUM(K92 mesi) &gt; SETUP!C10</t>
  </si>
  <si>
    <t>🪙 CRYPTO</t>
  </si>
  <si>
    <t>Crypto Valore live</t>
  </si>
  <si>
    <t>qty × prezzo live BTC/ETH</t>
  </si>
  <si>
    <t>qty × GOOGLEFINANCE("CURRENCY:BTCEUR")</t>
  </si>
  <si>
    <t>Crypto PNL</t>
  </si>
  <si>
    <t>Valore attuale − capitale investito</t>
  </si>
  <si>
    <t>valore_attuale − (qty × PMC)</t>
  </si>
  <si>
    <t>📅  SCADENZE FISCALI 2026 — INPS, IRPEF, Bollo</t>
  </si>
  <si>
    <t>IMPORTO ATTESO</t>
  </si>
  <si>
    <t>18/05/2026</t>
  </si>
  <si>
    <t>INPS Artigiani 1ª rata</t>
  </si>
  <si>
    <t>€1.152,93</t>
  </si>
  <si>
    <t>Codice 6800-CF</t>
  </si>
  <si>
    <t>30/06/2026</t>
  </si>
  <si>
    <t>Saldo IRPEF 2025 + 1° acconto 2026</t>
  </si>
  <si>
    <t>Variabile</t>
  </si>
  <si>
    <t>Da dichiarazione redditi</t>
  </si>
  <si>
    <t>20/08/2026</t>
  </si>
  <si>
    <t>INPS Artigiani 2ª rata</t>
  </si>
  <si>
    <t>16/11/2026</t>
  </si>
  <si>
    <t>INPS Artigiani 3ª rata</t>
  </si>
  <si>
    <t>30/11/2026</t>
  </si>
  <si>
    <t>2° acconto IRPEF 2026</t>
  </si>
  <si>
    <t>Solo se reddito &gt; minimale</t>
  </si>
  <si>
    <t>16/02/2027</t>
  </si>
  <si>
    <t>INPS Artigiani 4ª rata</t>
  </si>
  <si>
    <t>12/01/2026</t>
  </si>
  <si>
    <t>Assicurazione Auto</t>
  </si>
  <si>
    <t>€720,96</t>
  </si>
  <si>
    <t>Annuale</t>
  </si>
  <si>
    <t>Bollo Auto</t>
  </si>
  <si>
    <t>Da regione</t>
  </si>
  <si>
    <t>Dipende da kW e regione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</si>
</sst>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\€#,##0.00;[RED]&quot;-€&quot;#,##0.00"/>
    <numFmt numFmtId="165" formatCode="\€#,##0;[RED]&quot;-€&quot;#,##0;\€0"/>
    <numFmt numFmtId="166" formatCode="\€#,##0.00"/>
    <numFmt numFmtId="167" formatCode="&quot;€ &quot;#,##0.00"/>
    <numFmt numFmtId="168" formatCode="\€#,##0.00;[RED]&quot;-€&quot;#,##0.00;;"/>
    <numFmt numFmtId="169" formatCode="0.0%"/>
    <numFmt numFmtId="170" formatCode="\€#,##0.00;[RED]&quot;-€&quot;#,##0.00;\€0.00"/>
    <numFmt numFmtId="171" formatCode="dd/mm"/>
    <numFmt numFmtId="172" formatCode="\€#,##0"/>
    <numFmt numFmtId="173" formatCode="&quot;€ &quot;#,##0"/>
    <numFmt numFmtId="174" formatCode="\€#,##0;[RED]&quot;-€&quot;#,##0;;"/>
    <numFmt numFmtId="175" formatCode="#,##0.00000000"/>
    <numFmt numFmtId="176" formatCode="\$#,##0.00"/>
    <numFmt numFmtId="177" formatCode="\$#,##0.00;[RED]&quot;-$&quot;#,##0.00"/>
    <numFmt numFmtId="178" formatCode="\+0.00%;[RED]\-0.00%"/>
    <numFmt numFmtId="179" formatCode="0%;[RED]\-0%;;"/>
    <numFmt numFmtId="180" formatCode="0.00%;;;"/>
    <numFmt numFmtId="181" formatCode="0.00%;[RED]\-0.00%;;"/>
    <numFmt numFmtId="182" formatCode="\+0%;[RED]\-0%;\-"/>
    <numFmt numFmtId="183" formatCode="#,##0.00000000;;;"/>
    <numFmt numFmtId="184" formatCode="\€#,##0;;;"/>
  </numFmts>
  <fonts count="82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sz val="11.0"/>
      <color rgb="FF8B8B9E"/>
      <name val="Arial"/>
    </font>
    <font>
      <b/>
      <sz val="40.0"/>
      <color rgb="FF00D9A0"/>
      <name val="Arial"/>
    </font>
    <font>
      <b/>
      <sz val="9.0"/>
      <color rgb="FF8B8B9E"/>
      <name val="Arial"/>
    </font>
    <font>
      <b/>
      <sz val="10.0"/>
      <color rgb="FF7C5CFF"/>
      <name val="Arial"/>
    </font>
    <font>
      <b/>
      <sz val="20.0"/>
      <color rgb="FFFFFFFF"/>
      <name val="Arial"/>
    </font>
    <font>
      <b/>
      <sz val="20.0"/>
      <color rgb="FFFFC048"/>
      <name val="Arial"/>
    </font>
    <font>
      <b/>
      <sz val="14.0"/>
      <color rgb="FFFFFFFF"/>
      <name val="Arial"/>
    </font>
    <font>
      <i/>
      <sz val="11.0"/>
      <color rgb="FFFFFFFF"/>
      <name val="Arial"/>
    </font>
    <font>
      <sz val="9.0"/>
      <color rgb="FF8B8B9E"/>
      <name val="Arial"/>
    </font>
    <font>
      <b/>
      <sz val="10.0"/>
      <color rgb="FFFFC048"/>
      <name val="Arial"/>
    </font>
    <font>
      <b/>
      <sz val="9.0"/>
      <color rgb="FF00D9A0"/>
      <name val="Arial"/>
    </font>
    <font>
      <sz val="9.0"/>
      <color rgb="FFFFFFFF"/>
      <name val="Arial"/>
    </font>
    <font>
      <b/>
      <sz val="10.0"/>
      <color rgb="FF00D9A0"/>
      <name val="Arial"/>
    </font>
    <font>
      <sz val="11.0"/>
      <color rgb="FFFFC048"/>
      <name val="Arial"/>
    </font>
    <font>
      <b/>
      <sz val="11.0"/>
      <color rgb="FFFFC048"/>
      <name val="Arial"/>
    </font>
    <font>
      <sz val="11.0"/>
      <color rgb="FFFFFFFF"/>
      <name val="Arial"/>
    </font>
    <font>
      <sz val="10.0"/>
      <color rgb="FF8B8B9E"/>
      <name val="Arial"/>
    </font>
    <font>
      <b/>
      <sz val="9.0"/>
      <color rgb="FF4A9EFF"/>
      <name val="Arial"/>
    </font>
    <font>
      <b/>
      <sz val="10.0"/>
      <color rgb="FF4A9EFF"/>
      <name val="Arial"/>
    </font>
    <font>
      <b/>
      <sz val="9.0"/>
      <color rgb="FFE84393"/>
      <name val="Arial"/>
    </font>
    <font>
      <b/>
      <sz val="10.0"/>
      <color rgb="FFE84393"/>
      <name val="Arial"/>
    </font>
    <font>
      <sz val="10.0"/>
      <color rgb="FFFFFFFF"/>
      <name val="Arial"/>
    </font>
    <font>
      <b/>
      <sz val="9.0"/>
      <color rgb="FFFFC048"/>
      <name val="Arial"/>
    </font>
    <font>
      <sz val="11.0"/>
      <color theme="1"/>
      <name val="Cambria"/>
    </font>
    <font>
      <b/>
      <sz val="10.0"/>
      <color rgb="FFFF4D6D"/>
      <name val="Arial"/>
    </font>
    <font>
      <b/>
      <sz val="12.0"/>
      <color rgb="FFFFC048"/>
      <name val="Arial"/>
    </font>
    <font>
      <b/>
      <sz val="11.0"/>
      <color rgb="FFFFFFFF"/>
      <name val="Arial"/>
    </font>
    <font>
      <b/>
      <sz val="11.0"/>
      <color rgb="FF00D9A0"/>
      <name val="Arial"/>
    </font>
    <font>
      <b/>
      <sz val="13.0"/>
      <color rgb="FF7C5CFF"/>
      <name val="Arial"/>
    </font>
    <font>
      <i/>
      <sz val="10.0"/>
      <color rgb="FF8B8B9E"/>
      <name val="Arial"/>
    </font>
    <font>
      <b/>
      <sz val="14.0"/>
      <color rgb="FFE84393"/>
      <name val="Arial"/>
    </font>
    <font>
      <b/>
      <sz val="14.0"/>
      <color rgb="FF7C5CFF"/>
      <name val="Arial"/>
    </font>
    <font>
      <sz val="6.0"/>
      <color rgb="FF0A0A0F"/>
      <name val="Arial"/>
    </font>
    <font>
      <b/>
      <sz val="11.0"/>
      <color rgb="FFB6D7A8"/>
      <name val="Arial"/>
    </font>
    <font>
      <b/>
      <sz val="18.0"/>
      <color rgb="FF00D9A0"/>
      <name val="Arial"/>
    </font>
    <font>
      <b/>
      <sz val="18.0"/>
      <color rgb="FFFFC048"/>
      <name val="Arial"/>
    </font>
    <font>
      <b/>
      <sz val="18.0"/>
      <color rgb="FFE84393"/>
      <name val="Arial"/>
    </font>
    <font>
      <sz val="9.0"/>
      <color rgb="FF00D9A0"/>
      <name val="Arial"/>
    </font>
    <font>
      <sz val="9.0"/>
      <color rgb="FF4A9EFF"/>
      <name val="Arial"/>
    </font>
    <font>
      <sz val="9.0"/>
      <color rgb="FFE84393"/>
      <name val="Arial"/>
    </font>
    <font>
      <sz val="9.0"/>
      <color rgb="FFFFC048"/>
      <name val="Arial"/>
    </font>
    <font>
      <sz val="9.0"/>
      <color rgb="FFFF4D6D"/>
      <name val="Arial"/>
    </font>
    <font>
      <b/>
      <sz val="9.0"/>
      <color rgb="FFFF4D6D"/>
      <name val="Arial"/>
    </font>
    <font>
      <b/>
      <sz val="11.0"/>
      <color rgb="FFE84393"/>
      <name val="Arial"/>
    </font>
    <font>
      <b/>
      <sz val="13.0"/>
      <color rgb="FFE84393"/>
      <name val="Arial"/>
    </font>
    <font>
      <b/>
      <sz val="13.0"/>
      <color rgb="FFF7931A"/>
      <name val="Arial"/>
    </font>
    <font>
      <b/>
      <sz val="13.0"/>
      <color rgb="FFFFFFFF"/>
      <name val="Arial"/>
    </font>
    <font>
      <b/>
      <sz val="12.0"/>
      <color rgb="FF00D9A0"/>
      <name val="Arial"/>
    </font>
    <font>
      <b/>
      <sz val="13.0"/>
      <color rgb="FF627EEA"/>
      <name val="Arial"/>
    </font>
    <font>
      <i/>
      <sz val="11.0"/>
      <color rgb="FF8B8B9E"/>
      <name val="Arial"/>
    </font>
    <font>
      <b/>
      <sz val="12.0"/>
      <color rgb="FFFFFFFF"/>
      <name val="Arial"/>
    </font>
    <font>
      <b/>
      <sz val="15.0"/>
      <color rgb="FF00D9A0"/>
      <name val="Arial"/>
    </font>
    <font>
      <b/>
      <sz val="13.0"/>
      <color rgb="FF00D9A0"/>
      <name val="Arial"/>
    </font>
    <font>
      <b/>
      <sz val="18.0"/>
      <color rgb="FF4A9EFF"/>
      <name val="Arial"/>
    </font>
    <font>
      <i/>
      <sz val="10.0"/>
      <color rgb="FF5C5C70"/>
      <name val="Arial"/>
    </font>
    <font>
      <b/>
      <sz val="11.0"/>
      <color rgb="FF7C5CFF"/>
      <name val="Arial"/>
    </font>
    <font>
      <sz val="10.0"/>
      <color rgb="FFFFC048"/>
      <name val="Arial"/>
    </font>
    <font>
      <b/>
      <sz val="10.0"/>
      <color rgb="FFFFFFFF"/>
      <name val="Arial"/>
    </font>
    <font>
      <b/>
      <sz val="11.0"/>
      <color rgb="FF4A9EFF"/>
      <name val="Arial"/>
    </font>
    <font>
      <i/>
      <sz val="9.0"/>
      <color rgb="FF8B8B9E"/>
      <name val="Arial"/>
    </font>
    <font>
      <b/>
      <sz val="14.0"/>
      <color rgb="FFFFC048"/>
      <name val="Arial"/>
    </font>
    <font>
      <b/>
      <i/>
      <sz val="10.0"/>
      <color rgb="FFFFC048"/>
      <name val="Arial"/>
    </font>
    <font>
      <b/>
      <sz val="9.0"/>
      <color rgb="FF7C5CFF"/>
      <name val="Arial"/>
    </font>
    <font>
      <sz val="11.0"/>
      <color rgb="FFE84393"/>
      <name val="Arial"/>
    </font>
    <font>
      <b/>
      <sz val="12.0"/>
      <color rgb="FFFF4757"/>
      <name val="Arial"/>
    </font>
    <font>
      <b/>
      <sz val="11.0"/>
      <color rgb="FFFF4757"/>
      <name val="Arial"/>
    </font>
    <font>
      <sz val="11.0"/>
      <color rgb="FF55EFC4"/>
      <name val="Arial"/>
    </font>
    <font>
      <b/>
      <sz val="13.0"/>
      <color rgb="FFFF4757"/>
      <name val="Arial"/>
    </font>
    <font>
      <b/>
      <sz val="13.0"/>
      <color rgb="FF55EFC4"/>
      <name val="Arial"/>
    </font>
    <font>
      <sz val="10.0"/>
      <color rgb="FF55EFC4"/>
      <name val="Arial"/>
    </font>
    <font>
      <b/>
      <sz val="12.0"/>
      <color rgb="FF55EFC4"/>
      <name val="Arial"/>
    </font>
    <font>
      <b/>
      <sz val="28.0"/>
      <color rgb="FFFF4757"/>
      <name val="Arial"/>
    </font>
    <font>
      <b/>
      <sz val="11.0"/>
      <color rgb="FF00CEC9"/>
      <name val="Arial"/>
    </font>
    <font>
      <sz val="10.0"/>
      <color rgb="FF00CEC9"/>
      <name val="Arial"/>
    </font>
    <font>
      <b/>
      <sz val="18.0"/>
      <color rgb="FFFFFFFF"/>
      <name val="Arial"/>
    </font>
    <font>
      <b/>
      <sz val="13.0"/>
      <color rgb="FFFFC048"/>
      <name val="Arial"/>
    </font>
    <font>
      <b/>
      <sz val="10.0"/>
      <color rgb="FF8B8B9E"/>
      <name val="Arial"/>
    </font>
    <font>
      <i/>
      <sz val="9.0"/>
      <color rgb="FF00D9A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A0A0F"/>
        <bgColor rgb="FF0A0A0F"/>
      </patternFill>
    </fill>
    <fill>
      <patternFill patternType="solid">
        <fgColor rgb="FF1A1A22"/>
        <bgColor rgb="FF1A1A22"/>
      </patternFill>
    </fill>
    <fill>
      <patternFill patternType="solid">
        <fgColor rgb="FF232330"/>
        <bgColor rgb="FF232330"/>
      </patternFill>
    </fill>
    <fill>
      <patternFill patternType="solid">
        <fgColor rgb="FF2A2A38"/>
        <bgColor rgb="FF2A2A38"/>
      </patternFill>
    </fill>
    <fill>
      <patternFill patternType="solid">
        <fgColor rgb="FF3A2A55"/>
        <bgColor rgb="FF3A2A55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/>
      <top/>
      <bottom style="medium">
        <color rgb="FF00D9A0"/>
      </bottom>
    </border>
    <border>
      <top/>
      <bottom style="medium">
        <color rgb="FF00D9A0"/>
      </bottom>
    </border>
    <border>
      <right/>
      <top/>
      <bottom style="medium">
        <color rgb="FF00D9A0"/>
      </bottom>
    </border>
    <border>
      <left/>
      <right/>
      <top/>
      <bottom style="thin">
        <color rgb="FF2A2A38"/>
      </bottom>
    </border>
    <border>
      <left/>
      <top/>
      <bottom style="medium">
        <color rgb="FFE84393"/>
      </bottom>
    </border>
    <border>
      <top/>
      <bottom style="medium">
        <color rgb="FFE84393"/>
      </bottom>
    </border>
    <border>
      <right/>
      <top/>
      <bottom style="medium">
        <color rgb="FFE84393"/>
      </bottom>
    </border>
    <border>
      <left/>
      <top/>
      <bottom style="thin">
        <color rgb="FF2A2A38"/>
      </bottom>
    </border>
    <border>
      <right/>
      <top/>
      <bottom style="thin">
        <color rgb="FF2A2A38"/>
      </bottom>
    </border>
    <border>
      <left/>
      <top/>
      <bottom style="medium">
        <color rgb="FF7C5CFF"/>
      </bottom>
    </border>
    <border>
      <top/>
      <bottom style="medium">
        <color rgb="FF7C5CFF"/>
      </bottom>
    </border>
    <border>
      <right/>
      <top/>
      <bottom style="medium">
        <color rgb="FF7C5CFF"/>
      </bottom>
    </border>
    <border>
      <left/>
      <right/>
      <top/>
      <bottom style="medium">
        <color rgb="FF7C5CFF"/>
      </bottom>
    </border>
    <border>
      <left/>
      <right/>
      <top/>
      <bottom style="medium">
        <color rgb="FFE84393"/>
      </bottom>
    </border>
    <border>
      <left/>
      <top/>
      <bottom style="medium">
        <color rgb="FFFFC048"/>
      </bottom>
    </border>
    <border>
      <top/>
      <bottom style="medium">
        <color rgb="FFFFC048"/>
      </bottom>
    </border>
    <border>
      <right/>
      <top/>
      <bottom style="medium">
        <color rgb="FFFFC048"/>
      </bottom>
    </border>
    <border>
      <left/>
      <top/>
      <bottom style="thin">
        <color rgb="FF00D9A0"/>
      </bottom>
    </border>
    <border>
      <top/>
      <bottom style="thin">
        <color rgb="FF00D9A0"/>
      </bottom>
    </border>
    <border>
      <right/>
      <top/>
      <bottom style="thin">
        <color rgb="FF00D9A0"/>
      </bottom>
    </border>
    <border>
      <left/>
      <top/>
      <bottom style="medium">
        <color rgb="FF4083CE"/>
      </bottom>
    </border>
    <border>
      <top/>
      <bottom style="medium">
        <color rgb="FF4083CE"/>
      </bottom>
    </border>
    <border>
      <right/>
      <top/>
      <bottom style="medium">
        <color rgb="FF4083CE"/>
      </bottom>
    </border>
    <border>
      <left/>
      <top style="medium">
        <color rgb="FF7C5CFF"/>
      </top>
      <bottom style="medium">
        <color rgb="FF7C5CFF"/>
      </bottom>
    </border>
    <border>
      <top style="medium">
        <color rgb="FF7C5CFF"/>
      </top>
      <bottom style="medium">
        <color rgb="FF7C5CFF"/>
      </bottom>
    </border>
    <border>
      <right/>
      <top style="medium">
        <color rgb="FF7C5CFF"/>
      </top>
      <bottom style="medium">
        <color rgb="FF7C5CFF"/>
      </bottom>
    </border>
    <border>
      <left/>
      <top/>
      <bottom style="medium">
        <color rgb="FF00CEC9"/>
      </bottom>
    </border>
    <border>
      <top/>
      <bottom style="medium">
        <color rgb="FF00CEC9"/>
      </bottom>
    </border>
    <border>
      <right/>
      <top/>
      <bottom style="medium">
        <color rgb="FF00CEC9"/>
      </bottom>
    </border>
    <border>
      <left/>
      <top/>
      <bottom style="medium">
        <color rgb="FF55EFC4"/>
      </bottom>
    </border>
    <border>
      <top/>
      <bottom style="medium">
        <color rgb="FF55EFC4"/>
      </bottom>
    </border>
    <border>
      <right/>
      <top/>
      <bottom style="medium">
        <color rgb="FF55EFC4"/>
      </bottom>
    </border>
    <border>
      <left/>
      <right/>
      <top/>
      <bottom style="thin">
        <color rgb="FF0A0A0F"/>
      </bottom>
    </border>
    <border>
      <left/>
      <right/>
      <top/>
      <bottom style="medium">
        <color rgb="FF00D9A0"/>
      </bottom>
    </border>
    <border>
      <left/>
      <right/>
      <top style="medium">
        <color rgb="FFE84393"/>
      </top>
      <bottom style="medium">
        <color rgb="FFE84393"/>
      </bottom>
    </border>
    <border>
      <left/>
      <right/>
      <top style="medium">
        <color rgb="FF00D9A0"/>
      </top>
      <bottom style="medium">
        <color rgb="FF00D9A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0"/>
    </xf>
    <xf borderId="2" fillId="2" fontId="5" numFmtId="164" xfId="0" applyAlignment="1" applyBorder="1" applyFont="1" applyNumberFormat="1">
      <alignment horizontal="left" shrinkToFit="0" vertical="center" wrapText="0"/>
    </xf>
    <xf borderId="2" fillId="3" fontId="6" numFmtId="0" xfId="0" applyAlignment="1" applyBorder="1" applyFill="1" applyFont="1">
      <alignment horizontal="left" shrinkToFit="0" vertical="center" wrapText="0"/>
    </xf>
    <xf borderId="2" fillId="4" fontId="7" numFmtId="0" xfId="0" applyAlignment="1" applyBorder="1" applyFill="1" applyFont="1">
      <alignment horizontal="center" shrinkToFit="0" vertical="center" wrapText="0"/>
    </xf>
    <xf borderId="2" fillId="3" fontId="8" numFmtId="165" xfId="0" applyAlignment="1" applyBorder="1" applyFont="1" applyNumberFormat="1">
      <alignment horizontal="left" shrinkToFit="0" vertical="center" wrapText="0"/>
    </xf>
    <xf borderId="2" fillId="3" fontId="9" numFmtId="165" xfId="0" applyAlignment="1" applyBorder="1" applyFont="1" applyNumberFormat="1">
      <alignment horizontal="left" shrinkToFit="0" vertical="center" wrapText="0"/>
    </xf>
    <xf borderId="2" fillId="3" fontId="10" numFmtId="0" xfId="0" applyAlignment="1" applyBorder="1" applyFont="1">
      <alignment horizontal="left" shrinkToFit="0" vertical="center" wrapText="0"/>
    </xf>
    <xf borderId="5" fillId="4" fontId="1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2" fillId="3" fontId="12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2" fillId="3" fontId="13" numFmtId="0" xfId="0" applyAlignment="1" applyBorder="1" applyFont="1">
      <alignment horizontal="center" shrinkToFit="0" vertical="center" wrapText="0"/>
    </xf>
    <xf borderId="9" fillId="2" fontId="10" numFmtId="0" xfId="0" applyAlignment="1" applyBorder="1" applyFont="1">
      <alignment horizontal="left" shrinkToFit="0" vertical="center" wrapText="0"/>
    </xf>
    <xf borderId="10" fillId="0" fontId="3" numFmtId="0" xfId="0" applyBorder="1" applyFont="1"/>
    <xf borderId="11" fillId="0" fontId="3" numFmtId="0" xfId="0" applyBorder="1" applyFont="1"/>
    <xf borderId="1" fillId="2" fontId="14" numFmtId="0" xfId="0" applyAlignment="1" applyBorder="1" applyFont="1">
      <alignment horizontal="left" shrinkToFit="0" vertical="center" wrapText="0"/>
    </xf>
    <xf borderId="1" fillId="2" fontId="15" numFmtId="166" xfId="0" applyAlignment="1" applyBorder="1" applyFont="1" applyNumberFormat="1">
      <alignment horizontal="right" shrinkToFit="0" vertical="center" wrapText="0"/>
    </xf>
    <xf borderId="12" fillId="2" fontId="6" numFmtId="0" xfId="0" applyAlignment="1" applyBorder="1" applyFont="1">
      <alignment horizontal="left" shrinkToFit="0" vertical="center" wrapText="0"/>
    </xf>
    <xf borderId="12" fillId="2" fontId="6" numFmtId="0" xfId="0" applyAlignment="1" applyBorder="1" applyFont="1">
      <alignment horizontal="right" shrinkToFit="0" vertical="center" wrapText="0"/>
    </xf>
    <xf borderId="12" fillId="2" fontId="6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1" fillId="5" fontId="16" numFmtId="167" xfId="0" applyAlignment="1" applyBorder="1" applyFill="1" applyFont="1" applyNumberFormat="1">
      <alignment horizontal="right" shrinkToFit="0" vertical="center" wrapText="0"/>
    </xf>
    <xf borderId="12" fillId="2" fontId="17" numFmtId="0" xfId="0" applyAlignment="1" applyBorder="1" applyFont="1">
      <alignment shrinkToFit="0" vertical="bottom" wrapText="0"/>
    </xf>
    <xf borderId="12" fillId="2" fontId="18" numFmtId="168" xfId="0" applyAlignment="1" applyBorder="1" applyFont="1" applyNumberFormat="1">
      <alignment horizontal="right" shrinkToFit="0" vertical="bottom" wrapText="0"/>
    </xf>
    <xf borderId="12" fillId="2" fontId="19" numFmtId="0" xfId="0" applyAlignment="1" applyBorder="1" applyFont="1">
      <alignment horizontal="center" shrinkToFit="0" vertical="bottom" wrapText="0"/>
    </xf>
    <xf borderId="12" fillId="2" fontId="20" numFmtId="168" xfId="0" applyAlignment="1" applyBorder="1" applyFont="1" applyNumberFormat="1">
      <alignment horizontal="right" shrinkToFit="0" vertical="center" wrapText="0"/>
    </xf>
    <xf borderId="1" fillId="2" fontId="21" numFmtId="0" xfId="0" applyAlignment="1" applyBorder="1" applyFont="1">
      <alignment horizontal="left" shrinkToFit="0" vertical="center" wrapText="0"/>
    </xf>
    <xf borderId="12" fillId="2" fontId="19" numFmtId="0" xfId="0" applyAlignment="1" applyBorder="1" applyFont="1">
      <alignment horizontal="center" readingOrder="0" shrinkToFit="0" vertical="bottom" wrapText="0"/>
    </xf>
    <xf borderId="1" fillId="5" fontId="22" numFmtId="167" xfId="0" applyAlignment="1" applyBorder="1" applyFont="1" applyNumberFormat="1">
      <alignment horizontal="right" shrinkToFit="0" vertical="center" wrapText="0"/>
    </xf>
    <xf borderId="1" fillId="2" fontId="23" numFmtId="0" xfId="0" applyAlignment="1" applyBorder="1" applyFont="1">
      <alignment horizontal="left" shrinkToFit="0" vertical="center" wrapText="0"/>
    </xf>
    <xf borderId="1" fillId="5" fontId="24" numFmtId="167" xfId="0" applyAlignment="1" applyBorder="1" applyFont="1" applyNumberFormat="1">
      <alignment horizontal="right" shrinkToFit="0" vertical="center" wrapText="0"/>
    </xf>
    <xf borderId="12" fillId="2" fontId="17" numFmtId="0" xfId="0" applyAlignment="1" applyBorder="1" applyFont="1">
      <alignment horizontal="left" shrinkToFit="0" vertical="center" wrapText="0"/>
    </xf>
    <xf borderId="12" fillId="2" fontId="18" numFmtId="168" xfId="0" applyAlignment="1" applyBorder="1" applyFont="1" applyNumberFormat="1">
      <alignment horizontal="right" shrinkToFit="0" vertical="center" wrapText="0"/>
    </xf>
    <xf borderId="12" fillId="2" fontId="25" numFmtId="0" xfId="0" applyAlignment="1" applyBorder="1" applyFont="1">
      <alignment horizontal="center" shrinkToFit="0" vertical="center" wrapText="0"/>
    </xf>
    <xf borderId="1" fillId="2" fontId="26" numFmtId="0" xfId="0" applyAlignment="1" applyBorder="1" applyFont="1">
      <alignment horizontal="left" shrinkToFit="0" vertical="center" wrapText="0"/>
    </xf>
    <xf borderId="1" fillId="2" fontId="15" numFmtId="169" xfId="0" applyAlignment="1" applyBorder="1" applyFont="1" applyNumberFormat="1">
      <alignment horizontal="right" shrinkToFit="0" vertical="center" wrapText="0"/>
    </xf>
    <xf borderId="0" fillId="0" fontId="27" numFmtId="0" xfId="0" applyAlignment="1" applyFont="1">
      <alignment shrinkToFit="0" vertical="bottom" wrapText="0"/>
    </xf>
    <xf borderId="1" fillId="5" fontId="13" numFmtId="167" xfId="0" applyAlignment="1" applyBorder="1" applyFont="1" applyNumberFormat="1">
      <alignment horizontal="right" shrinkToFit="0" vertical="center" wrapText="0"/>
    </xf>
    <xf borderId="1" fillId="5" fontId="28" numFmtId="167" xfId="0" applyAlignment="1" applyBorder="1" applyFont="1" applyNumberFormat="1">
      <alignment horizontal="right" shrinkToFit="0" vertical="center" wrapText="0"/>
    </xf>
    <xf borderId="1" fillId="2" fontId="18" numFmtId="0" xfId="0" applyAlignment="1" applyBorder="1" applyFont="1">
      <alignment horizontal="left" shrinkToFit="0" vertical="center" wrapText="0"/>
    </xf>
    <xf borderId="1" fillId="5" fontId="29" numFmtId="167" xfId="0" applyAlignment="1" applyBorder="1" applyFont="1" applyNumberFormat="1">
      <alignment horizontal="right" shrinkToFit="0" vertical="center" wrapText="0"/>
    </xf>
    <xf borderId="1" fillId="3" fontId="30" numFmtId="0" xfId="0" applyAlignment="1" applyBorder="1" applyFont="1">
      <alignment horizontal="left" shrinkToFit="0" vertical="center" wrapText="0"/>
    </xf>
    <xf borderId="1" fillId="3" fontId="31" numFmtId="170" xfId="0" applyAlignment="1" applyBorder="1" applyFont="1" applyNumberFormat="1">
      <alignment horizontal="right" shrinkToFit="0" vertical="center" wrapText="0"/>
    </xf>
    <xf borderId="1" fillId="3" fontId="1" numFmtId="0" xfId="0" applyAlignment="1" applyBorder="1" applyFont="1">
      <alignment shrinkToFit="0" vertical="bottom" wrapText="0"/>
    </xf>
    <xf borderId="1" fillId="3" fontId="18" numFmtId="170" xfId="0" applyAlignment="1" applyBorder="1" applyFont="1" applyNumberFormat="1">
      <alignment horizontal="right" shrinkToFit="0" vertical="center" wrapText="0"/>
    </xf>
    <xf borderId="1" fillId="2" fontId="25" numFmtId="0" xfId="0" applyAlignment="1" applyBorder="1" applyFont="1">
      <alignment shrinkToFit="0" vertical="bottom" wrapText="0"/>
    </xf>
    <xf borderId="13" fillId="2" fontId="10" numFmtId="0" xfId="0" applyAlignment="1" applyBorder="1" applyFont="1">
      <alignment horizontal="left" shrinkToFit="0" vertical="center" wrapText="0"/>
    </xf>
    <xf borderId="14" fillId="0" fontId="3" numFmtId="0" xfId="0" applyBorder="1" applyFont="1"/>
    <xf borderId="15" fillId="0" fontId="3" numFmtId="0" xfId="0" applyBorder="1" applyFont="1"/>
    <xf borderId="12" fillId="6" fontId="30" numFmtId="0" xfId="0" applyAlignment="1" applyBorder="1" applyFill="1" applyFont="1">
      <alignment horizontal="left" shrinkToFit="0" vertical="center" wrapText="0"/>
    </xf>
    <xf borderId="12" fillId="6" fontId="19" numFmtId="0" xfId="0" applyAlignment="1" applyBorder="1" applyFont="1">
      <alignment horizontal="left" shrinkToFit="0" vertical="center" wrapText="0"/>
    </xf>
    <xf borderId="12" fillId="6" fontId="32" numFmtId="166" xfId="0" applyAlignment="1" applyBorder="1" applyFont="1" applyNumberFormat="1">
      <alignment horizontal="right" shrinkToFit="0" vertical="center" wrapText="0"/>
    </xf>
    <xf borderId="12" fillId="6" fontId="20" numFmtId="0" xfId="0" applyAlignment="1" applyBorder="1" applyFont="1">
      <alignment horizontal="center" shrinkToFit="0" vertical="center" wrapText="0"/>
    </xf>
    <xf borderId="12" fillId="6" fontId="16" numFmtId="0" xfId="0" applyAlignment="1" applyBorder="1" applyFont="1">
      <alignment horizontal="center" shrinkToFit="0" vertical="center" wrapText="0"/>
    </xf>
    <xf borderId="12" fillId="6" fontId="33" numFmtId="0" xfId="0" applyAlignment="1" applyBorder="1" applyFont="1">
      <alignment horizontal="left" shrinkToFit="0" vertical="center" wrapText="0"/>
    </xf>
    <xf borderId="12" fillId="2" fontId="25" numFmtId="0" xfId="0" applyAlignment="1" applyBorder="1" applyFont="1">
      <alignment horizontal="left" shrinkToFit="0" vertical="center" wrapText="0"/>
    </xf>
    <xf borderId="12" fillId="2" fontId="25" numFmtId="171" xfId="0" applyAlignment="1" applyBorder="1" applyFont="1" applyNumberFormat="1">
      <alignment horizontal="center" shrinkToFit="0" vertical="center" wrapText="0"/>
    </xf>
    <xf borderId="12" fillId="2" fontId="20" numFmtId="0" xfId="0" applyAlignment="1" applyBorder="1" applyFont="1">
      <alignment horizontal="center" shrinkToFit="0" vertical="center" wrapText="0"/>
    </xf>
    <xf borderId="12" fillId="2" fontId="33" numFmtId="0" xfId="0" applyAlignment="1" applyBorder="1" applyFont="1">
      <alignment horizontal="left" shrinkToFit="0" vertical="center" wrapText="0"/>
    </xf>
    <xf borderId="1" fillId="2" fontId="25" numFmtId="168" xfId="0" applyAlignment="1" applyBorder="1" applyFont="1" applyNumberFormat="1">
      <alignment shrinkToFit="0" vertical="bottom" wrapText="0"/>
    </xf>
    <xf borderId="1" fillId="2" fontId="25" numFmtId="171" xfId="0" applyAlignment="1" applyBorder="1" applyFont="1" applyNumberFormat="1">
      <alignment shrinkToFit="0" vertical="bottom" wrapText="0"/>
    </xf>
    <xf borderId="16" fillId="3" fontId="30" numFmtId="0" xfId="0" applyAlignment="1" applyBorder="1" applyFont="1">
      <alignment horizontal="left" shrinkToFit="0" vertical="center" wrapText="0"/>
    </xf>
    <xf borderId="17" fillId="0" fontId="3" numFmtId="0" xfId="0" applyBorder="1" applyFont="1"/>
    <xf borderId="1" fillId="3" fontId="34" numFmtId="170" xfId="0" applyAlignment="1" applyBorder="1" applyFont="1" applyNumberFormat="1">
      <alignment horizontal="right" shrinkToFit="0" vertical="center" wrapText="0"/>
    </xf>
    <xf borderId="1" fillId="2" fontId="19" numFmtId="0" xfId="0" applyAlignment="1" applyBorder="1" applyFont="1">
      <alignment shrinkToFit="0" vertical="bottom" wrapText="0"/>
    </xf>
    <xf borderId="1" fillId="2" fontId="19" numFmtId="170" xfId="0" applyAlignment="1" applyBorder="1" applyFont="1" applyNumberFormat="1">
      <alignment shrinkToFit="0" vertical="bottom" wrapText="0"/>
    </xf>
    <xf borderId="18" fillId="2" fontId="10" numFmtId="0" xfId="0" applyAlignment="1" applyBorder="1" applyFont="1">
      <alignment horizontal="left" shrinkToFit="0" vertical="center" wrapText="0"/>
    </xf>
    <xf borderId="19" fillId="0" fontId="3" numFmtId="0" xfId="0" applyBorder="1" applyFont="1"/>
    <xf borderId="20" fillId="0" fontId="3" numFmtId="0" xfId="0" applyBorder="1" applyFont="1"/>
    <xf borderId="16" fillId="2" fontId="6" numFmtId="0" xfId="0" applyAlignment="1" applyBorder="1" applyFont="1">
      <alignment horizontal="left" shrinkToFit="0" vertical="center" wrapText="0"/>
    </xf>
    <xf borderId="12" fillId="2" fontId="20" numFmtId="0" xfId="0" applyAlignment="1" applyBorder="1" applyFont="1">
      <alignment horizontal="left" shrinkToFit="0" vertical="center" wrapText="0"/>
    </xf>
    <xf borderId="16" fillId="2" fontId="33" numFmtId="0" xfId="0" applyAlignment="1" applyBorder="1" applyFont="1">
      <alignment horizontal="left" shrinkToFit="0" vertical="center" wrapText="0"/>
    </xf>
    <xf borderId="12" fillId="2" fontId="20" numFmtId="167" xfId="0" applyAlignment="1" applyBorder="1" applyFont="1" applyNumberFormat="1">
      <alignment horizontal="right" shrinkToFit="0" vertical="center" wrapText="0"/>
    </xf>
    <xf borderId="12" fillId="2" fontId="18" numFmtId="167" xfId="0" applyAlignment="1" applyBorder="1" applyFont="1" applyNumberFormat="1">
      <alignment horizontal="right" shrinkToFit="0" vertical="center" wrapText="0"/>
    </xf>
    <xf borderId="1" fillId="3" fontId="35" numFmtId="170" xfId="0" applyAlignment="1" applyBorder="1" applyFont="1" applyNumberFormat="1">
      <alignment horizontal="right" shrinkToFit="0" vertical="center" wrapText="0"/>
    </xf>
    <xf borderId="0" fillId="0" fontId="27" numFmtId="170" xfId="0" applyAlignment="1" applyFont="1" applyNumberFormat="1">
      <alignment shrinkToFit="0" vertical="bottom" wrapText="0"/>
    </xf>
    <xf borderId="1" fillId="2" fontId="1" numFmtId="170" xfId="0" applyAlignment="1" applyBorder="1" applyFont="1" applyNumberFormat="1">
      <alignment shrinkToFit="0" vertical="bottom" wrapText="0"/>
    </xf>
    <xf borderId="1" fillId="2" fontId="36" numFmtId="166" xfId="0" applyAlignment="1" applyBorder="1" applyFont="1" applyNumberFormat="1">
      <alignment shrinkToFit="0" vertical="bottom" wrapText="0"/>
    </xf>
    <xf borderId="1" fillId="2" fontId="1" numFmtId="166" xfId="0" applyAlignment="1" applyBorder="1" applyFont="1" applyNumberFormat="1">
      <alignment shrinkToFit="0" vertical="bottom" wrapText="0"/>
    </xf>
    <xf borderId="12" fillId="2" fontId="25" numFmtId="0" xfId="0" applyAlignment="1" applyBorder="1" applyFont="1">
      <alignment horizontal="center" readingOrder="0" shrinkToFit="0" vertical="center" wrapText="0"/>
    </xf>
    <xf borderId="12" fillId="2" fontId="17" numFmtId="0" xfId="0" applyAlignment="1" applyBorder="1" applyFont="1">
      <alignment horizontal="left" readingOrder="0" shrinkToFit="0" vertical="center" wrapText="0"/>
    </xf>
    <xf borderId="12" fillId="2" fontId="18" numFmtId="168" xfId="0" applyAlignment="1" applyBorder="1" applyFont="1" applyNumberFormat="1">
      <alignment horizontal="right" readingOrder="0" shrinkToFit="0" vertical="center" wrapText="0"/>
    </xf>
    <xf borderId="1" fillId="2" fontId="18" numFmtId="168" xfId="0" applyAlignment="1" applyBorder="1" applyFont="1" applyNumberFormat="1">
      <alignment horizontal="right" shrinkToFit="0" vertical="center" wrapText="0"/>
    </xf>
    <xf borderId="1" fillId="2" fontId="25" numFmtId="0" xfId="0" applyAlignment="1" applyBorder="1" applyFont="1">
      <alignment horizontal="center" shrinkToFit="0" vertical="center" wrapText="0"/>
    </xf>
    <xf borderId="1" fillId="2" fontId="20" numFmtId="168" xfId="0" applyAlignment="1" applyBorder="1" applyFont="1" applyNumberFormat="1">
      <alignment horizontal="right" shrinkToFit="0" vertical="center" wrapText="0"/>
    </xf>
    <xf borderId="12" fillId="2" fontId="18" numFmtId="0" xfId="0" applyAlignment="1" applyBorder="1" applyFont="1">
      <alignment horizontal="right" shrinkToFit="0" vertical="center" wrapText="0"/>
    </xf>
    <xf borderId="12" fillId="2" fontId="25" numFmtId="0" xfId="0" applyAlignment="1" applyBorder="1" applyFont="1">
      <alignment horizontal="left" readingOrder="0" shrinkToFit="0" vertical="center" wrapText="0"/>
    </xf>
    <xf borderId="21" fillId="2" fontId="10" numFmtId="0" xfId="0" applyAlignment="1" applyBorder="1" applyFont="1">
      <alignment horizontal="left" shrinkToFit="0" vertical="center" wrapText="0"/>
    </xf>
    <xf borderId="12" fillId="2" fontId="20" numFmtId="0" xfId="0" applyAlignment="1" applyBorder="1" applyFont="1">
      <alignment horizontal="center" readingOrder="0" shrinkToFit="0" vertical="center" wrapText="0"/>
    </xf>
    <xf borderId="12" fillId="2" fontId="6" numFmtId="170" xfId="0" applyAlignment="1" applyBorder="1" applyFont="1" applyNumberFormat="1">
      <alignment horizontal="right" shrinkToFit="0" vertical="center" wrapText="0"/>
    </xf>
    <xf borderId="12" fillId="2" fontId="6" numFmtId="167" xfId="0" applyAlignment="1" applyBorder="1" applyFont="1" applyNumberFormat="1">
      <alignment horizontal="right" shrinkToFit="0" vertical="center" wrapText="0"/>
    </xf>
    <xf borderId="1" fillId="3" fontId="37" numFmtId="170" xfId="0" applyAlignment="1" applyBorder="1" applyFont="1" applyNumberFormat="1">
      <alignment horizontal="right" shrinkToFit="0" vertical="center" wrapText="0"/>
    </xf>
    <xf borderId="1" fillId="3" fontId="16" numFmtId="170" xfId="0" applyAlignment="1" applyBorder="1" applyFont="1" applyNumberFormat="1">
      <alignment horizontal="right" shrinkToFit="0" vertical="center" wrapText="0"/>
    </xf>
    <xf borderId="2" fillId="3" fontId="38" numFmtId="172" xfId="0" applyAlignment="1" applyBorder="1" applyFont="1" applyNumberFormat="1">
      <alignment horizontal="left" shrinkToFit="0" vertical="center" wrapText="0"/>
    </xf>
    <xf borderId="2" fillId="3" fontId="39" numFmtId="172" xfId="0" applyAlignment="1" applyBorder="1" applyFont="1" applyNumberFormat="1">
      <alignment horizontal="left" shrinkToFit="0" vertical="center" wrapText="0"/>
    </xf>
    <xf borderId="2" fillId="3" fontId="40" numFmtId="172" xfId="0" applyAlignment="1" applyBorder="1" applyFont="1" applyNumberFormat="1">
      <alignment horizontal="left" shrinkToFit="0" vertical="center" wrapText="0"/>
    </xf>
    <xf borderId="18" fillId="2" fontId="29" numFmtId="0" xfId="0" applyAlignment="1" applyBorder="1" applyFont="1">
      <alignment horizontal="left" shrinkToFit="0" vertical="center" wrapText="0"/>
    </xf>
    <xf borderId="12" fillId="2" fontId="23" numFmtId="0" xfId="0" applyAlignment="1" applyBorder="1" applyFont="1">
      <alignment horizontal="left" shrinkToFit="0" vertical="center" wrapText="0"/>
    </xf>
    <xf borderId="12" fillId="2" fontId="23" numFmtId="0" xfId="0" applyAlignment="1" applyBorder="1" applyFont="1">
      <alignment horizontal="center" shrinkToFit="0" vertical="center" wrapText="0"/>
    </xf>
    <xf borderId="12" fillId="2" fontId="26" numFmtId="0" xfId="0" applyAlignment="1" applyBorder="1" applyFont="1">
      <alignment horizontal="center" shrinkToFit="0" vertical="center" wrapText="0"/>
    </xf>
    <xf borderId="2" fillId="2" fontId="16" numFmtId="0" xfId="0" applyAlignment="1" applyBorder="1" applyFont="1">
      <alignment horizontal="left" shrinkToFit="0" vertical="center" wrapText="0"/>
    </xf>
    <xf borderId="1" fillId="5" fontId="41" numFmtId="173" xfId="0" applyAlignment="1" applyBorder="1" applyFont="1" applyNumberFormat="1">
      <alignment horizontal="right" shrinkToFit="0" vertical="center" wrapText="0"/>
    </xf>
    <xf borderId="1" fillId="5" fontId="14" numFmtId="173" xfId="0" applyAlignment="1" applyBorder="1" applyFont="1" applyNumberFormat="1">
      <alignment horizontal="right" shrinkToFit="0" vertical="center" wrapText="0"/>
    </xf>
    <xf borderId="2" fillId="2" fontId="22" numFmtId="0" xfId="0" applyAlignment="1" applyBorder="1" applyFont="1">
      <alignment horizontal="left" shrinkToFit="0" vertical="center" wrapText="0"/>
    </xf>
    <xf borderId="1" fillId="5" fontId="42" numFmtId="173" xfId="0" applyAlignment="1" applyBorder="1" applyFont="1" applyNumberFormat="1">
      <alignment horizontal="right" shrinkToFit="0" vertical="center" wrapText="0"/>
    </xf>
    <xf borderId="1" fillId="5" fontId="21" numFmtId="173" xfId="0" applyAlignment="1" applyBorder="1" applyFont="1" applyNumberFormat="1">
      <alignment horizontal="right" shrinkToFit="0" vertical="center" wrapText="0"/>
    </xf>
    <xf borderId="2" fillId="2" fontId="24" numFmtId="0" xfId="0" applyAlignment="1" applyBorder="1" applyFont="1">
      <alignment horizontal="left" shrinkToFit="0" vertical="center" wrapText="0"/>
    </xf>
    <xf borderId="1" fillId="5" fontId="43" numFmtId="173" xfId="0" applyAlignment="1" applyBorder="1" applyFont="1" applyNumberFormat="1">
      <alignment horizontal="right" shrinkToFit="0" vertical="center" wrapText="0"/>
    </xf>
    <xf borderId="1" fillId="5" fontId="23" numFmtId="173" xfId="0" applyAlignment="1" applyBorder="1" applyFont="1" applyNumberFormat="1">
      <alignment horizontal="right" shrinkToFit="0" vertical="center" wrapText="0"/>
    </xf>
    <xf borderId="2" fillId="2" fontId="13" numFmtId="0" xfId="0" applyAlignment="1" applyBorder="1" applyFont="1">
      <alignment horizontal="left" shrinkToFit="0" vertical="center" wrapText="0"/>
    </xf>
    <xf borderId="1" fillId="5" fontId="44" numFmtId="173" xfId="0" applyAlignment="1" applyBorder="1" applyFont="1" applyNumberFormat="1">
      <alignment horizontal="right" shrinkToFit="0" vertical="center" wrapText="0"/>
    </xf>
    <xf borderId="1" fillId="5" fontId="26" numFmtId="173" xfId="0" applyAlignment="1" applyBorder="1" applyFont="1" applyNumberFormat="1">
      <alignment horizontal="right" shrinkToFit="0" vertical="center" wrapText="0"/>
    </xf>
    <xf borderId="1" fillId="5" fontId="45" numFmtId="173" xfId="0" applyAlignment="1" applyBorder="1" applyFont="1" applyNumberFormat="1">
      <alignment horizontal="right" shrinkToFit="0" vertical="center" wrapText="0"/>
    </xf>
    <xf borderId="1" fillId="5" fontId="46" numFmtId="173" xfId="0" applyAlignment="1" applyBorder="1" applyFont="1" applyNumberFormat="1">
      <alignment horizontal="right" shrinkToFit="0" vertical="center" wrapText="0"/>
    </xf>
    <xf borderId="1" fillId="3" fontId="26" numFmtId="0" xfId="0" applyAlignment="1" applyBorder="1" applyFont="1">
      <alignment horizontal="left" shrinkToFit="0" vertical="center" wrapText="0"/>
    </xf>
    <xf borderId="1" fillId="5" fontId="12" numFmtId="173" xfId="0" applyAlignment="1" applyBorder="1" applyFont="1" applyNumberFormat="1">
      <alignment horizontal="right" shrinkToFit="0" vertical="center" wrapText="0"/>
    </xf>
    <xf borderId="1" fillId="5" fontId="6" numFmtId="173" xfId="0" applyAlignment="1" applyBorder="1" applyFont="1" applyNumberFormat="1">
      <alignment horizontal="right" shrinkToFit="0" vertical="center" wrapText="0"/>
    </xf>
    <xf borderId="1" fillId="5" fontId="41" numFmtId="169" xfId="0" applyAlignment="1" applyBorder="1" applyFont="1" applyNumberFormat="1">
      <alignment horizontal="right" shrinkToFit="0" vertical="center" wrapText="0"/>
    </xf>
    <xf borderId="1" fillId="5" fontId="14" numFmtId="169" xfId="0" applyAlignment="1" applyBorder="1" applyFont="1" applyNumberFormat="1">
      <alignment horizontal="right" shrinkToFit="0" vertical="center" wrapText="0"/>
    </xf>
    <xf borderId="22" fillId="2" fontId="10" numFmtId="0" xfId="0" applyAlignment="1" applyBorder="1" applyFont="1">
      <alignment horizontal="left" shrinkToFit="0" vertical="center" wrapText="0"/>
    </xf>
    <xf borderId="12" fillId="2" fontId="23" numFmtId="0" xfId="0" applyAlignment="1" applyBorder="1" applyFont="1">
      <alignment horizontal="right" shrinkToFit="0" vertical="center" wrapText="0"/>
    </xf>
    <xf borderId="12" fillId="2" fontId="25" numFmtId="174" xfId="0" applyAlignment="1" applyBorder="1" applyFont="1" applyNumberFormat="1">
      <alignment horizontal="right" shrinkToFit="0" vertical="center" wrapText="0"/>
    </xf>
    <xf borderId="12" fillId="2" fontId="47" numFmtId="174" xfId="0" applyAlignment="1" applyBorder="1" applyFont="1" applyNumberFormat="1">
      <alignment horizontal="right" shrinkToFit="0" vertical="center" wrapText="0"/>
    </xf>
    <xf borderId="1" fillId="3" fontId="47" numFmtId="174" xfId="0" applyAlignment="1" applyBorder="1" applyFont="1" applyNumberFormat="1">
      <alignment horizontal="right" shrinkToFit="0" vertical="center" wrapText="0"/>
    </xf>
    <xf borderId="1" fillId="3" fontId="48" numFmtId="174" xfId="0" applyAlignment="1" applyBorder="1" applyFont="1" applyNumberFormat="1">
      <alignment horizontal="right" shrinkToFit="0" vertical="center" wrapText="0"/>
    </xf>
    <xf borderId="23" fillId="2" fontId="10" numFmtId="0" xfId="0" applyAlignment="1" applyBorder="1" applyFont="1">
      <alignment horizontal="left" shrinkToFit="0" vertical="center" wrapText="0"/>
    </xf>
    <xf borderId="24" fillId="0" fontId="3" numFmtId="0" xfId="0" applyBorder="1" applyFont="1"/>
    <xf borderId="25" fillId="0" fontId="3" numFmtId="0" xfId="0" applyBorder="1" applyFont="1"/>
    <xf borderId="2" fillId="2" fontId="33" numFmtId="0" xfId="0" applyAlignment="1" applyBorder="1" applyFont="1">
      <alignment horizontal="left" shrinkToFit="0" vertical="center" wrapText="0"/>
    </xf>
    <xf borderId="12" fillId="2" fontId="49" numFmtId="0" xfId="0" applyAlignment="1" applyBorder="1" applyFont="1">
      <alignment horizontal="left" shrinkToFit="0" vertical="center" wrapText="0"/>
    </xf>
    <xf borderId="12" fillId="2" fontId="18" numFmtId="175" xfId="0" applyAlignment="1" applyBorder="1" applyFont="1" applyNumberFormat="1">
      <alignment horizontal="right" shrinkToFit="0" vertical="center" wrapText="0"/>
    </xf>
    <xf borderId="12" fillId="2" fontId="18" numFmtId="176" xfId="0" applyAlignment="1" applyBorder="1" applyFont="1" applyNumberFormat="1">
      <alignment horizontal="right" shrinkToFit="0" vertical="center" wrapText="0"/>
    </xf>
    <xf borderId="12" fillId="2" fontId="19" numFmtId="176" xfId="0" applyAlignment="1" applyBorder="1" applyFont="1" applyNumberFormat="1">
      <alignment horizontal="right" shrinkToFit="0" vertical="center" wrapText="0"/>
    </xf>
    <xf borderId="12" fillId="2" fontId="31" numFmtId="176" xfId="0" applyAlignment="1" applyBorder="1" applyFont="1" applyNumberFormat="1">
      <alignment horizontal="right" shrinkToFit="0" vertical="center" wrapText="0"/>
    </xf>
    <xf borderId="12" fillId="2" fontId="50" numFmtId="176" xfId="0" applyAlignment="1" applyBorder="1" applyFont="1" applyNumberFormat="1">
      <alignment horizontal="right" shrinkToFit="0" vertical="center" wrapText="0"/>
    </xf>
    <xf borderId="12" fillId="2" fontId="51" numFmtId="177" xfId="0" applyAlignment="1" applyBorder="1" applyFont="1" applyNumberFormat="1">
      <alignment horizontal="right" shrinkToFit="0" vertical="center" wrapText="0"/>
    </xf>
    <xf borderId="12" fillId="2" fontId="31" numFmtId="178" xfId="0" applyAlignment="1" applyBorder="1" applyFont="1" applyNumberFormat="1">
      <alignment horizontal="right" shrinkToFit="0" vertical="center" wrapText="0"/>
    </xf>
    <xf borderId="12" fillId="2" fontId="52" numFmtId="0" xfId="0" applyAlignment="1" applyBorder="1" applyFont="1">
      <alignment horizontal="left" shrinkToFit="0" vertical="center" wrapText="0"/>
    </xf>
    <xf borderId="12" fillId="2" fontId="53" numFmtId="0" xfId="0" applyAlignment="1" applyBorder="1" applyFont="1">
      <alignment horizontal="left" shrinkToFit="0" vertical="center" wrapText="0"/>
    </xf>
    <xf borderId="12" fillId="2" fontId="1" numFmtId="0" xfId="0" applyAlignment="1" applyBorder="1" applyFont="1">
      <alignment shrinkToFit="0" vertical="bottom" wrapText="0"/>
    </xf>
    <xf borderId="1" fillId="3" fontId="54" numFmtId="0" xfId="0" applyAlignment="1" applyBorder="1" applyFont="1">
      <alignment horizontal="left" shrinkToFit="0" vertical="center" wrapText="0"/>
    </xf>
    <xf borderId="1" fillId="3" fontId="50" numFmtId="176" xfId="0" applyAlignment="1" applyBorder="1" applyFont="1" applyNumberFormat="1">
      <alignment horizontal="right" shrinkToFit="0" vertical="center" wrapText="0"/>
    </xf>
    <xf borderId="1" fillId="3" fontId="55" numFmtId="176" xfId="0" applyAlignment="1" applyBorder="1" applyFont="1" applyNumberFormat="1">
      <alignment horizontal="right" shrinkToFit="0" vertical="center" wrapText="0"/>
    </xf>
    <xf borderId="1" fillId="3" fontId="56" numFmtId="177" xfId="0" applyAlignment="1" applyBorder="1" applyFont="1" applyNumberFormat="1">
      <alignment horizontal="right" shrinkToFit="0" vertical="center" wrapText="0"/>
    </xf>
    <xf borderId="1" fillId="3" fontId="56" numFmtId="178" xfId="0" applyAlignment="1" applyBorder="1" applyFont="1" applyNumberFormat="1">
      <alignment horizontal="right" shrinkToFit="0" vertical="center" wrapText="0"/>
    </xf>
    <xf borderId="2" fillId="3" fontId="39" numFmtId="173" xfId="0" applyAlignment="1" applyBorder="1" applyFont="1" applyNumberFormat="1">
      <alignment horizontal="center" shrinkToFit="0" vertical="center" wrapText="0"/>
    </xf>
    <xf borderId="2" fillId="3" fontId="38" numFmtId="169" xfId="0" applyAlignment="1" applyBorder="1" applyFont="1" applyNumberFormat="1">
      <alignment horizontal="center" shrinkToFit="0" vertical="center" wrapText="0"/>
    </xf>
    <xf borderId="2" fillId="3" fontId="57" numFmtId="173" xfId="0" applyAlignment="1" applyBorder="1" applyFont="1" applyNumberFormat="1">
      <alignment horizontal="center" shrinkToFit="0" vertical="center" wrapText="0"/>
    </xf>
    <xf borderId="2" fillId="3" fontId="20" numFmtId="0" xfId="0" applyAlignment="1" applyBorder="1" applyFont="1">
      <alignment horizontal="left" shrinkToFit="0" vertical="center" wrapText="0"/>
    </xf>
    <xf borderId="2" fillId="3" fontId="13" numFmtId="0" xfId="0" applyAlignment="1" applyBorder="1" applyFont="1">
      <alignment horizontal="left" shrinkToFit="0" vertical="center" wrapText="0"/>
    </xf>
    <xf borderId="2" fillId="3" fontId="24" numFmtId="0" xfId="0" applyAlignment="1" applyBorder="1" applyFont="1">
      <alignment horizontal="left" shrinkToFit="0" vertical="center" wrapText="0"/>
    </xf>
    <xf borderId="2" fillId="3" fontId="58" numFmtId="0" xfId="0" applyAlignment="1" applyBorder="1" applyFont="1">
      <alignment horizontal="left" shrinkToFit="0" vertical="center" wrapText="0"/>
    </xf>
    <xf borderId="12" fillId="2" fontId="14" numFmtId="0" xfId="0" applyAlignment="1" applyBorder="1" applyFont="1">
      <alignment horizontal="right" shrinkToFit="0" vertical="center" wrapText="0"/>
    </xf>
    <xf borderId="12" fillId="2" fontId="59" numFmtId="174" xfId="0" applyAlignment="1" applyBorder="1" applyFont="1" applyNumberFormat="1">
      <alignment horizontal="right" shrinkToFit="0" vertical="center" wrapText="0"/>
    </xf>
    <xf borderId="1" fillId="3" fontId="59" numFmtId="174" xfId="0" applyAlignment="1" applyBorder="1" applyFont="1" applyNumberFormat="1">
      <alignment horizontal="right" shrinkToFit="0" vertical="center" wrapText="0"/>
    </xf>
    <xf borderId="1" fillId="3" fontId="32" numFmtId="174" xfId="0" applyAlignment="1" applyBorder="1" applyFont="1" applyNumberFormat="1">
      <alignment horizontal="right" shrinkToFit="0" vertical="center" wrapText="0"/>
    </xf>
    <xf borderId="9" fillId="2" fontId="31" numFmtId="0" xfId="0" applyAlignment="1" applyBorder="1" applyFont="1">
      <alignment horizontal="left" shrinkToFit="0" vertical="center" wrapText="0"/>
    </xf>
    <xf borderId="12" fillId="2" fontId="31" numFmtId="174" xfId="0" applyAlignment="1" applyBorder="1" applyFont="1" applyNumberFormat="1">
      <alignment horizontal="right" shrinkToFit="0" vertical="center" wrapText="0"/>
    </xf>
    <xf borderId="12" fillId="2" fontId="60" numFmtId="174" xfId="0" applyAlignment="1" applyBorder="1" applyFont="1" applyNumberFormat="1">
      <alignment horizontal="right" shrinkToFit="0" vertical="center" wrapText="0"/>
    </xf>
    <xf borderId="12" fillId="2" fontId="59" numFmtId="179" xfId="0" applyAlignment="1" applyBorder="1" applyFont="1" applyNumberFormat="1">
      <alignment horizontal="right" shrinkToFit="0" vertical="center" wrapText="0"/>
    </xf>
    <xf borderId="12" fillId="2" fontId="61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right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13" numFmtId="174" xfId="0" applyAlignment="1" applyBorder="1" applyFont="1" applyNumberFormat="1">
      <alignment horizontal="right" shrinkToFit="0" vertical="center" wrapText="0"/>
    </xf>
    <xf borderId="12" fillId="2" fontId="16" numFmtId="174" xfId="0" applyAlignment="1" applyBorder="1" applyFont="1" applyNumberFormat="1">
      <alignment horizontal="right" shrinkToFit="0" vertical="center" wrapText="0"/>
    </xf>
    <xf borderId="12" fillId="2" fontId="30" numFmtId="179" xfId="0" applyAlignment="1" applyBorder="1" applyFont="1" applyNumberFormat="1">
      <alignment horizontal="right" shrinkToFit="0" vertical="center" wrapText="0"/>
    </xf>
    <xf borderId="1" fillId="3" fontId="18" numFmtId="174" xfId="0" applyAlignment="1" applyBorder="1" applyFont="1" applyNumberFormat="1">
      <alignment horizontal="right" shrinkToFit="0" vertical="center" wrapText="0"/>
    </xf>
    <xf borderId="1" fillId="3" fontId="30" numFmtId="179" xfId="0" applyAlignment="1" applyBorder="1" applyFont="1" applyNumberFormat="1">
      <alignment horizontal="right" shrinkToFit="0" vertical="center" wrapText="0"/>
    </xf>
    <xf borderId="2" fillId="2" fontId="18" numFmtId="0" xfId="0" applyAlignment="1" applyBorder="1" applyFont="1">
      <alignment horizontal="left" shrinkToFit="0" vertical="center" wrapText="0"/>
    </xf>
    <xf borderId="2" fillId="2" fontId="25" numFmtId="0" xfId="0" applyAlignment="1" applyBorder="1" applyFont="1">
      <alignment horizontal="left" shrinkToFit="0" vertical="center" wrapText="1"/>
    </xf>
    <xf borderId="26" fillId="2" fontId="51" numFmtId="0" xfId="0" applyAlignment="1" applyBorder="1" applyFont="1">
      <alignment horizontal="left" shrinkToFit="0" vertical="center" wrapText="0"/>
    </xf>
    <xf borderId="27" fillId="0" fontId="3" numFmtId="0" xfId="0" applyBorder="1" applyFont="1"/>
    <xf borderId="28" fillId="0" fontId="3" numFmtId="0" xfId="0" applyBorder="1" applyFont="1"/>
    <xf borderId="2" fillId="2" fontId="29" numFmtId="0" xfId="0" applyAlignment="1" applyBorder="1" applyFont="1">
      <alignment horizontal="left" shrinkToFit="0" vertical="center" wrapText="0"/>
    </xf>
    <xf borderId="2" fillId="2" fontId="23" numFmtId="0" xfId="0" applyAlignment="1" applyBorder="1" applyFont="1">
      <alignment horizontal="left" shrinkToFit="0" vertical="center" wrapText="0"/>
    </xf>
    <xf borderId="1" fillId="3" fontId="25" numFmtId="0" xfId="0" applyAlignment="1" applyBorder="1" applyFont="1">
      <alignment horizontal="left" shrinkToFit="0" vertical="center" wrapText="0"/>
    </xf>
    <xf borderId="2" fillId="3" fontId="25" numFmtId="0" xfId="0" applyAlignment="1" applyBorder="1" applyFont="1">
      <alignment horizontal="left" shrinkToFit="0" vertical="center" wrapText="0"/>
    </xf>
    <xf borderId="2" fillId="5" fontId="62" numFmtId="167" xfId="0" applyAlignment="1" applyBorder="1" applyFont="1" applyNumberFormat="1">
      <alignment horizontal="right" shrinkToFit="0" vertical="center" wrapText="0"/>
    </xf>
    <xf borderId="2" fillId="3" fontId="63" numFmtId="0" xfId="0" applyAlignment="1" applyBorder="1" applyFont="1">
      <alignment horizontal="left" shrinkToFit="0" vertical="center" wrapText="0"/>
    </xf>
    <xf borderId="2" fillId="5" fontId="47" numFmtId="167" xfId="0" applyAlignment="1" applyBorder="1" applyFont="1" applyNumberFormat="1">
      <alignment horizontal="right" shrinkToFit="0" vertical="center" wrapText="0"/>
    </xf>
    <xf borderId="1" fillId="2" fontId="27" numFmtId="0" xfId="0" applyAlignment="1" applyBorder="1" applyFont="1">
      <alignment shrinkToFit="0" vertical="bottom" wrapText="0"/>
    </xf>
    <xf borderId="2" fillId="5" fontId="64" numFmtId="167" xfId="0" applyAlignment="1" applyBorder="1" applyFont="1" applyNumberFormat="1">
      <alignment horizontal="right" shrinkToFit="0" vertical="center" wrapText="0"/>
    </xf>
    <xf borderId="2" fillId="3" fontId="65" numFmtId="0" xfId="0" applyAlignment="1" applyBorder="1" applyFont="1">
      <alignment horizontal="left" shrinkToFit="0" vertical="center" wrapText="0"/>
    </xf>
    <xf borderId="2" fillId="2" fontId="8" numFmtId="0" xfId="0" applyAlignment="1" applyBorder="1" applyFont="1">
      <alignment horizontal="left" shrinkToFit="0" vertical="center" wrapText="0"/>
    </xf>
    <xf borderId="29" fillId="2" fontId="50" numFmtId="0" xfId="0" applyAlignment="1" applyBorder="1" applyFont="1">
      <alignment horizontal="left" shrinkToFit="0" vertical="center" wrapText="0"/>
    </xf>
    <xf borderId="30" fillId="0" fontId="3" numFmtId="0" xfId="0" applyBorder="1" applyFont="1"/>
    <xf borderId="31" fillId="0" fontId="3" numFmtId="0" xfId="0" applyBorder="1" applyFont="1"/>
    <xf borderId="2" fillId="2" fontId="19" numFmtId="0" xfId="0" applyAlignment="1" applyBorder="1" applyFont="1">
      <alignment horizontal="left" shrinkToFit="0" vertical="center" wrapText="0"/>
    </xf>
    <xf borderId="2" fillId="2" fontId="47" numFmtId="0" xfId="0" applyAlignment="1" applyBorder="1" applyFont="1">
      <alignment horizontal="left" shrinkToFit="0" vertical="center" wrapText="0"/>
    </xf>
    <xf borderId="18" fillId="2" fontId="50" numFmtId="0" xfId="0" applyAlignment="1" applyBorder="1" applyFont="1">
      <alignment horizontal="left" shrinkToFit="0" vertical="center" wrapText="0"/>
    </xf>
    <xf borderId="12" fillId="2" fontId="18" numFmtId="0" xfId="0" applyAlignment="1" applyBorder="1" applyFont="1">
      <alignment horizontal="left" shrinkToFit="0" vertical="center" wrapText="0"/>
    </xf>
    <xf borderId="12" fillId="2" fontId="18" numFmtId="10" xfId="0" applyAlignment="1" applyBorder="1" applyFont="1" applyNumberFormat="1">
      <alignment horizontal="right" shrinkToFit="0" vertical="center" wrapText="0"/>
    </xf>
    <xf borderId="12" fillId="2" fontId="4" numFmtId="10" xfId="0" applyAlignment="1" applyBorder="1" applyFont="1" applyNumberFormat="1">
      <alignment horizontal="right" shrinkToFit="0" vertical="center" wrapText="0"/>
    </xf>
    <xf borderId="12" fillId="2" fontId="47" numFmtId="10" xfId="0" applyAlignment="1" applyBorder="1" applyFont="1" applyNumberFormat="1">
      <alignment horizontal="right" shrinkToFit="0" vertical="center" wrapText="0"/>
    </xf>
    <xf borderId="12" fillId="2" fontId="63" numFmtId="0" xfId="0" applyAlignment="1" applyBorder="1" applyFont="1">
      <alignment horizontal="left" shrinkToFit="0" vertical="center" wrapText="0"/>
    </xf>
    <xf borderId="12" fillId="2" fontId="58" numFmtId="0" xfId="0" applyAlignment="1" applyBorder="1" applyFont="1">
      <alignment horizontal="left" shrinkToFit="0" vertical="center" wrapText="0"/>
    </xf>
    <xf borderId="12" fillId="2" fontId="20" numFmtId="180" xfId="0" applyAlignment="1" applyBorder="1" applyFont="1" applyNumberFormat="1">
      <alignment horizontal="right" shrinkToFit="0" vertical="center" wrapText="0"/>
    </xf>
    <xf borderId="32" fillId="2" fontId="66" numFmtId="0" xfId="0" applyAlignment="1" applyBorder="1" applyFont="1">
      <alignment horizontal="center" shrinkToFit="0" vertical="center" wrapText="0"/>
    </xf>
    <xf borderId="33" fillId="0" fontId="3" numFmtId="0" xfId="0" applyBorder="1" applyFont="1"/>
    <xf borderId="34" fillId="0" fontId="3" numFmtId="0" xfId="0" applyBorder="1" applyFont="1"/>
    <xf borderId="23" fillId="2" fontId="50" numFmtId="0" xfId="0" applyAlignment="1" applyBorder="1" applyFont="1">
      <alignment horizontal="left" shrinkToFit="0" vertical="center" wrapText="0"/>
    </xf>
    <xf borderId="12" fillId="2" fontId="30" numFmtId="168" xfId="0" applyAlignment="1" applyBorder="1" applyFont="1" applyNumberFormat="1">
      <alignment horizontal="right" shrinkToFit="0" vertical="center" wrapText="0"/>
    </xf>
    <xf borderId="12" fillId="2" fontId="47" numFmtId="168" xfId="0" applyAlignment="1" applyBorder="1" applyFont="1" applyNumberFormat="1">
      <alignment horizontal="right" shrinkToFit="0" vertical="center" wrapText="0"/>
    </xf>
    <xf borderId="12" fillId="2" fontId="67" numFmtId="168" xfId="0" applyAlignment="1" applyBorder="1" applyFont="1" applyNumberFormat="1">
      <alignment horizontal="right" shrinkToFit="0" vertical="center" wrapText="0"/>
    </xf>
    <xf borderId="12" fillId="2" fontId="68" numFmtId="168" xfId="0" applyAlignment="1" applyBorder="1" applyFont="1" applyNumberFormat="1">
      <alignment horizontal="right" shrinkToFit="0" vertical="center" wrapText="0"/>
    </xf>
    <xf borderId="12" fillId="2" fontId="69" numFmtId="181" xfId="0" applyAlignment="1" applyBorder="1" applyFont="1" applyNumberFormat="1">
      <alignment horizontal="right" shrinkToFit="0" vertical="center" wrapText="0"/>
    </xf>
    <xf borderId="12" fillId="2" fontId="70" numFmtId="168" xfId="0" applyAlignment="1" applyBorder="1" applyFont="1" applyNumberFormat="1">
      <alignment horizontal="right" shrinkToFit="0" vertical="center" wrapText="0"/>
    </xf>
    <xf borderId="12" fillId="2" fontId="69" numFmtId="182" xfId="0" applyAlignment="1" applyBorder="1" applyFont="1" applyNumberFormat="1">
      <alignment horizontal="right" shrinkToFit="0" vertical="center" wrapText="0"/>
    </xf>
    <xf borderId="1" fillId="3" fontId="50" numFmtId="168" xfId="0" applyAlignment="1" applyBorder="1" applyFont="1" applyNumberFormat="1">
      <alignment horizontal="right" shrinkToFit="0" vertical="center" wrapText="0"/>
    </xf>
    <xf borderId="1" fillId="3" fontId="48" numFmtId="168" xfId="0" applyAlignment="1" applyBorder="1" applyFont="1" applyNumberFormat="1">
      <alignment horizontal="right" shrinkToFit="0" vertical="center" wrapText="0"/>
    </xf>
    <xf borderId="1" fillId="3" fontId="71" numFmtId="168" xfId="0" applyAlignment="1" applyBorder="1" applyFont="1" applyNumberFormat="1">
      <alignment horizontal="right" shrinkToFit="0" vertical="center" wrapText="0"/>
    </xf>
    <xf borderId="1" fillId="3" fontId="71" numFmtId="181" xfId="0" applyAlignment="1" applyBorder="1" applyFont="1" applyNumberFormat="1">
      <alignment horizontal="right" shrinkToFit="0" vertical="center" wrapText="0"/>
    </xf>
    <xf borderId="1" fillId="3" fontId="72" numFmtId="168" xfId="0" applyAlignment="1" applyBorder="1" applyFont="1" applyNumberFormat="1">
      <alignment horizontal="right" shrinkToFit="0" vertical="center" wrapText="0"/>
    </xf>
    <xf borderId="1" fillId="3" fontId="71" numFmtId="182" xfId="0" applyAlignment="1" applyBorder="1" applyFont="1" applyNumberFormat="1">
      <alignment horizontal="right" shrinkToFit="0" vertical="center" wrapText="0"/>
    </xf>
    <xf borderId="12" fillId="2" fontId="60" numFmtId="0" xfId="0" applyAlignment="1" applyBorder="1" applyFont="1">
      <alignment horizontal="left" shrinkToFit="0" vertical="center" wrapText="0"/>
    </xf>
    <xf borderId="12" fillId="2" fontId="25" numFmtId="168" xfId="0" applyAlignment="1" applyBorder="1" applyFont="1" applyNumberFormat="1">
      <alignment horizontal="right" shrinkToFit="0" vertical="center" wrapText="0"/>
    </xf>
    <xf borderId="12" fillId="2" fontId="24" numFmtId="174" xfId="0" applyAlignment="1" applyBorder="1" applyFont="1" applyNumberFormat="1">
      <alignment horizontal="right" shrinkToFit="0" vertical="center" wrapText="0"/>
    </xf>
    <xf borderId="12" fillId="2" fontId="73" numFmtId="174" xfId="0" applyAlignment="1" applyBorder="1" applyFont="1" applyNumberFormat="1">
      <alignment horizontal="right" shrinkToFit="0" vertical="center" wrapText="0"/>
    </xf>
    <xf borderId="12" fillId="2" fontId="69" numFmtId="174" xfId="0" applyAlignment="1" applyBorder="1" applyFont="1" applyNumberFormat="1">
      <alignment horizontal="right" shrinkToFit="0" vertical="center" wrapText="0"/>
    </xf>
    <xf borderId="1" fillId="3" fontId="54" numFmtId="174" xfId="0" applyAlignment="1" applyBorder="1" applyFont="1" applyNumberFormat="1">
      <alignment horizontal="right" shrinkToFit="0" vertical="center" wrapText="0"/>
    </xf>
    <xf borderId="1" fillId="3" fontId="68" numFmtId="174" xfId="0" applyAlignment="1" applyBorder="1" applyFont="1" applyNumberFormat="1">
      <alignment horizontal="right" shrinkToFit="0" vertical="center" wrapText="0"/>
    </xf>
    <xf borderId="1" fillId="3" fontId="74" numFmtId="174" xfId="0" applyAlignment="1" applyBorder="1" applyFont="1" applyNumberFormat="1">
      <alignment horizontal="right" shrinkToFit="0" vertical="center" wrapText="0"/>
    </xf>
    <xf borderId="9" fillId="2" fontId="50" numFmtId="0" xfId="0" applyAlignment="1" applyBorder="1" applyFont="1">
      <alignment horizontal="left" shrinkToFit="0" vertical="center" wrapText="0"/>
    </xf>
    <xf borderId="2" fillId="2" fontId="75" numFmtId="0" xfId="0" applyAlignment="1" applyBorder="1" applyFont="1">
      <alignment horizontal="left" shrinkToFit="0" vertical="center" wrapText="0"/>
    </xf>
    <xf borderId="35" fillId="2" fontId="50" numFmtId="0" xfId="0" applyAlignment="1" applyBorder="1" applyFont="1">
      <alignment horizontal="left" shrinkToFit="0" vertical="center" wrapText="0"/>
    </xf>
    <xf borderId="36" fillId="0" fontId="3" numFmtId="0" xfId="0" applyBorder="1" applyFont="1"/>
    <xf borderId="37" fillId="0" fontId="3" numFmtId="0" xfId="0" applyBorder="1" applyFont="1"/>
    <xf borderId="2" fillId="2" fontId="76" numFmtId="0" xfId="0" applyAlignment="1" applyBorder="1" applyFont="1">
      <alignment horizontal="left" shrinkToFit="0" vertical="center" wrapText="0"/>
    </xf>
    <xf borderId="38" fillId="2" fontId="50" numFmtId="0" xfId="0" applyAlignment="1" applyBorder="1" applyFont="1">
      <alignment horizontal="left" shrinkToFit="0" vertical="center" wrapText="0"/>
    </xf>
    <xf borderId="39" fillId="0" fontId="3" numFmtId="0" xfId="0" applyBorder="1" applyFont="1"/>
    <xf borderId="40" fillId="0" fontId="3" numFmtId="0" xfId="0" applyBorder="1" applyFont="1"/>
    <xf borderId="12" fillId="2" fontId="58" numFmtId="0" xfId="0" applyAlignment="1" applyBorder="1" applyFont="1">
      <alignment horizontal="center" shrinkToFit="0" vertical="center" wrapText="0"/>
    </xf>
    <xf borderId="12" fillId="2" fontId="13" numFmtId="180" xfId="0" applyAlignment="1" applyBorder="1" applyFont="1" applyNumberFormat="1">
      <alignment horizontal="right" shrinkToFit="0" vertical="center" wrapText="0"/>
    </xf>
    <xf borderId="12" fillId="2" fontId="13" numFmtId="183" xfId="0" applyAlignment="1" applyBorder="1" applyFont="1" applyNumberFormat="1">
      <alignment horizontal="right" shrinkToFit="0" vertical="center" wrapText="0"/>
    </xf>
    <xf borderId="12" fillId="2" fontId="13" numFmtId="168" xfId="0" applyAlignment="1" applyBorder="1" applyFont="1" applyNumberFormat="1">
      <alignment horizontal="right" shrinkToFit="0" vertical="center" wrapText="0"/>
    </xf>
    <xf borderId="12" fillId="2" fontId="16" numFmtId="168" xfId="0" applyAlignment="1" applyBorder="1" applyFont="1" applyNumberFormat="1">
      <alignment horizontal="right" shrinkToFit="0" vertical="center" wrapText="0"/>
    </xf>
    <xf borderId="12" fillId="2" fontId="77" numFmtId="0" xfId="0" applyAlignment="1" applyBorder="1" applyFont="1">
      <alignment horizontal="center" shrinkToFit="0" vertical="center" wrapText="0"/>
    </xf>
    <xf borderId="1" fillId="3" fontId="55" numFmtId="168" xfId="0" applyAlignment="1" applyBorder="1" applyFont="1" applyNumberFormat="1">
      <alignment horizontal="right" shrinkToFit="0" vertical="center" wrapText="0"/>
    </xf>
    <xf borderId="2" fillId="2" fontId="78" numFmtId="0" xfId="0" applyAlignment="1" applyBorder="1" applyFont="1">
      <alignment horizontal="left" shrinkToFit="0" vertical="center" wrapText="0"/>
    </xf>
    <xf borderId="41" fillId="3" fontId="19" numFmtId="0" xfId="0" applyAlignment="1" applyBorder="1" applyFont="1">
      <alignment horizontal="left" shrinkToFit="0" vertical="center" wrapText="0"/>
    </xf>
    <xf borderId="41" fillId="5" fontId="79" numFmtId="10" xfId="0" applyAlignment="1" applyBorder="1" applyFont="1" applyNumberFormat="1">
      <alignment horizontal="right" shrinkToFit="0" vertical="center" wrapText="0"/>
    </xf>
    <xf borderId="1" fillId="2" fontId="33" numFmtId="0" xfId="0" applyAlignment="1" applyBorder="1" applyFont="1">
      <alignment horizontal="left" shrinkToFit="0" vertical="center" wrapText="0"/>
    </xf>
    <xf borderId="41" fillId="5" fontId="79" numFmtId="166" xfId="0" applyAlignment="1" applyBorder="1" applyFont="1" applyNumberFormat="1">
      <alignment horizontal="right" shrinkToFit="0" vertical="center" wrapText="0"/>
    </xf>
    <xf borderId="41" fillId="5" fontId="79" numFmtId="172" xfId="0" applyAlignment="1" applyBorder="1" applyFont="1" applyNumberFormat="1">
      <alignment horizontal="right" shrinkToFit="0" vertical="center" wrapText="0"/>
    </xf>
    <xf borderId="1" fillId="2" fontId="33" numFmtId="0" xfId="0" applyAlignment="1" applyBorder="1" applyFont="1">
      <alignment shrinkToFit="0" vertical="bottom" wrapText="0"/>
    </xf>
    <xf borderId="41" fillId="5" fontId="79" numFmtId="169" xfId="0" applyAlignment="1" applyBorder="1" applyFont="1" applyNumberFormat="1">
      <alignment horizontal="right" shrinkToFit="0" vertical="center" wrapText="0"/>
    </xf>
    <xf borderId="13" fillId="2" fontId="24" numFmtId="0" xfId="0" applyAlignment="1" applyBorder="1" applyFont="1">
      <alignment horizontal="left" shrinkToFit="0" vertical="center" wrapText="0"/>
    </xf>
    <xf borderId="42" fillId="2" fontId="16" numFmtId="0" xfId="0" applyAlignment="1" applyBorder="1" applyFont="1">
      <alignment horizontal="left" shrinkToFit="0" vertical="center" wrapText="0"/>
    </xf>
    <xf borderId="1" fillId="2" fontId="19" numFmtId="10" xfId="0" applyAlignment="1" applyBorder="1" applyFont="1" applyNumberFormat="1">
      <alignment shrinkToFit="0" vertical="bottom" wrapText="0"/>
    </xf>
    <xf borderId="22" fillId="2" fontId="23" numFmtId="0" xfId="0" applyAlignment="1" applyBorder="1" applyFont="1">
      <alignment horizontal="right" shrinkToFit="0" vertical="center" wrapText="0"/>
    </xf>
    <xf borderId="42" fillId="2" fontId="14" numFmtId="0" xfId="0" applyAlignment="1" applyBorder="1" applyFont="1">
      <alignment horizontal="right" shrinkToFit="0" vertical="center" wrapText="0"/>
    </xf>
    <xf borderId="41" fillId="5" fontId="18" numFmtId="184" xfId="0" applyAlignment="1" applyBorder="1" applyFont="1" applyNumberFormat="1">
      <alignment horizontal="right" shrinkToFit="0" vertical="center" wrapText="0"/>
    </xf>
    <xf borderId="41" fillId="3" fontId="58" numFmtId="0" xfId="0" applyAlignment="1" applyBorder="1" applyFont="1">
      <alignment horizontal="left" shrinkToFit="0" vertical="center" wrapText="0"/>
    </xf>
    <xf borderId="43" fillId="2" fontId="23" numFmtId="0" xfId="0" applyAlignment="1" applyBorder="1" applyFont="1">
      <alignment horizontal="center" shrinkToFit="0" vertical="center" wrapText="0"/>
    </xf>
    <xf borderId="43" fillId="2" fontId="19" numFmtId="0" xfId="0" applyAlignment="1" applyBorder="1" applyFont="1">
      <alignment shrinkToFit="0" vertical="bottom" wrapText="0"/>
    </xf>
    <xf borderId="44" fillId="2" fontId="14" numFmtId="0" xfId="0" applyAlignment="1" applyBorder="1" applyFont="1">
      <alignment horizontal="center" shrinkToFit="0" vertical="center" wrapText="0"/>
    </xf>
    <xf borderId="1" fillId="3" fontId="16" numFmtId="0" xfId="0" applyAlignment="1" applyBorder="1" applyFont="1">
      <alignment horizontal="left" shrinkToFit="0" vertical="center" wrapText="1"/>
    </xf>
    <xf borderId="2" fillId="3" fontId="25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left" shrinkToFit="0" vertical="center" wrapText="1"/>
    </xf>
    <xf borderId="1" fillId="3" fontId="80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2" fillId="2" fontId="81" numFmtId="0" xfId="0" applyAlignment="1" applyBorder="1" applyFont="1">
      <alignment horizontal="left" shrinkToFit="0" vertical="center" wrapText="1"/>
    </xf>
    <xf borderId="2" fillId="3" fontId="15" numFmtId="0" xfId="0" applyAlignment="1" applyBorder="1" applyFont="1">
      <alignment horizontal="left" shrinkToFit="0" vertical="center" wrapText="1"/>
    </xf>
    <xf borderId="2" fillId="3" fontId="81" numFmtId="0" xfId="0" applyAlignment="1" applyBorder="1" applyFont="1">
      <alignment horizontal="left" shrinkToFit="0" vertical="center" wrapText="1"/>
    </xf>
    <xf borderId="2" fillId="3" fontId="15" numFmtId="0" xfId="0" applyAlignment="1" applyBorder="1" applyFont="1">
      <alignment horizontal="left" shrinkToFit="0" vertical="center" wrapText="0"/>
    </xf>
    <xf borderId="1" fillId="3" fontId="14" numFmtId="0" xfId="0" applyAlignment="1" applyBorder="1" applyFont="1">
      <alignment horizontal="left" shrinkToFit="0" vertical="center" wrapText="0"/>
    </xf>
    <xf borderId="1" fillId="3" fontId="63" numFmtId="0" xfId="0" applyAlignment="1" applyBorder="1" applyFont="1">
      <alignment horizontal="left" shrinkToFit="0" vertical="center" wrapText="0"/>
    </xf>
    <xf borderId="2" fillId="2" fontId="15" numFmtId="0" xfId="0" applyAlignment="1" applyBorder="1" applyFont="1">
      <alignment horizontal="left" shrinkToFit="0" vertical="center" wrapText="0"/>
    </xf>
    <xf borderId="1" fillId="2" fontId="63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12">
    <dxf>
      <font>
        <b/>
        <sz val="40.0"/>
        <color rgb="FFFF4757"/>
        <name val="Arial"/>
      </font>
      <fill>
        <patternFill patternType="none"/>
      </fill>
      <border/>
    </dxf>
    <dxf>
      <font>
        <b/>
        <sz val="14.0"/>
        <color rgb="FFFFFFFF"/>
        <name val="Arial"/>
      </font>
      <fill>
        <patternFill patternType="solid">
          <fgColor rgb="FFFF4757"/>
          <bgColor rgb="FFFF4757"/>
        </patternFill>
      </fill>
      <border/>
    </dxf>
    <dxf>
      <font>
        <b/>
        <sz val="14.0"/>
        <color rgb="FF0A0A0F"/>
        <name val="Arial"/>
      </font>
      <fill>
        <patternFill patternType="solid">
          <fgColor rgb="FF00D9A0"/>
          <bgColor rgb="FF00D9A0"/>
        </patternFill>
      </fill>
      <border/>
    </dxf>
    <dxf>
      <font>
        <b/>
        <sz val="14.0"/>
        <color rgb="FF0A0A0F"/>
        <name val="Arial"/>
      </font>
      <fill>
        <patternFill patternType="solid">
          <fgColor rgb="FFFFC048"/>
          <bgColor rgb="FFFFC048"/>
        </patternFill>
      </fill>
      <border/>
    </dxf>
    <dxf>
      <font>
        <b/>
        <strike/>
        <sz val="11.0"/>
        <color rgb="FF666666"/>
        <name val="Arial"/>
      </font>
      <fill>
        <patternFill patternType="none"/>
      </fill>
      <border/>
    </dxf>
    <dxf>
      <font>
        <b/>
        <sz val="12.0"/>
        <color rgb="FFFF4757"/>
        <name val="Arial"/>
      </font>
      <fill>
        <patternFill patternType="none"/>
      </fill>
      <border/>
    </dxf>
    <dxf>
      <font>
        <b/>
        <sz val="11.0"/>
        <color rgb="FFFF4757"/>
        <name val="Arial"/>
      </font>
      <fill>
        <patternFill patternType="none"/>
      </fill>
      <border/>
    </dxf>
    <dxf>
      <font>
        <b/>
        <sz val="13.0"/>
        <color rgb="FFFF4757"/>
        <name val="Arial"/>
      </font>
      <fill>
        <patternFill patternType="none"/>
      </fill>
      <border/>
    </dxf>
    <dxf>
      <font>
        <b/>
        <sz val="10.0"/>
        <color rgb="FFFF4757"/>
        <name val="Arial"/>
      </font>
      <fill>
        <patternFill patternType="none"/>
      </fill>
      <border/>
    </dxf>
    <dxf>
      <font>
        <b/>
        <sz val="10.0"/>
        <color rgb="FFFFC048"/>
        <name val="Arial"/>
      </font>
      <fill>
        <patternFill patternType="none"/>
      </fill>
      <border/>
    </dxf>
    <dxf>
      <font>
        <b/>
        <sz val="10.0"/>
        <color rgb="FF00D9A0"/>
        <name val="Arial"/>
      </font>
      <fill>
        <patternFill patternType="none"/>
      </fill>
      <border/>
    </dxf>
    <dxf>
      <font>
        <b/>
        <sz val="15.0"/>
        <color rgb="FFFF4757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-609.90975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€450 di fatturato P.IVA  •  €402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450</v>
      </c>
      <c r="C8" s="5"/>
      <c r="D8" s="11">
        <f>K94</f>
        <v>401.86</v>
      </c>
      <c r="E8" s="5"/>
      <c r="F8" s="12" t="str">
        <f>IF(B4&lt;0,"🔴 IN ROSSO",IF(K97&gt;=0.2,"🟢 SANO",IF(K97&gt;=0.1,"🟡 ATTENZIONE","🟠 SAVING BASSO")))</f>
        <v>🔴 IN ROSSO</v>
      </c>
      <c r="G8" s="5"/>
      <c r="H8" s="1"/>
      <c r="I8" s="13" t="str">
        <f>IF(B4&gt;=0,CONCATENATE("✅ €",TEXT(B4,"#,##0")," netti reali questo mese"),CONCATENATE("⚠ Sotto di €",TEXT(-B4,"#,##0")," questo mese"))</f>
        <v>⚠ Sotto di €610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€1.550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-135,5%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€450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450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29" t="s">
        <v>16</v>
      </c>
      <c r="C15" s="30">
        <v>500.0</v>
      </c>
      <c r="D15" s="31" t="s">
        <v>17</v>
      </c>
      <c r="E15" s="31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31" t="s">
        <v>19</v>
      </c>
      <c r="I15" s="27" t="s">
        <v>20</v>
      </c>
      <c r="J15" s="28">
        <f>K91</f>
        <v>1550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29" t="s">
        <v>21</v>
      </c>
      <c r="C16" s="30">
        <v>250.0</v>
      </c>
      <c r="D16" s="31" t="s">
        <v>22</v>
      </c>
      <c r="E16" s="31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31" t="s">
        <v>19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29" t="s">
        <v>25</v>
      </c>
      <c r="C17" s="30">
        <v>150.0</v>
      </c>
      <c r="D17" s="34" t="s">
        <v>17</v>
      </c>
      <c r="E17" s="31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31" t="s">
        <v>19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29" t="s">
        <v>27</v>
      </c>
      <c r="C18" s="30">
        <v>200.0</v>
      </c>
      <c r="D18" s="31" t="s">
        <v>22</v>
      </c>
      <c r="E18" s="31" t="s">
        <v>18</v>
      </c>
      <c r="F18" s="32">
        <f>IF(D18="FATTURA P.IVA",C18*SETUP!$C$4*SETUP!$C$5,0)</f>
        <v>7.8</v>
      </c>
      <c r="G18" s="32">
        <f>IF(AND(D18="FATTURA P.IVA",E18="SI"),C18*SETUP!$C$4*SETUP!$C$11,0)</f>
        <v>0</v>
      </c>
      <c r="H18" s="31" t="s">
        <v>19</v>
      </c>
      <c r="I18" s="27" t="s">
        <v>28</v>
      </c>
      <c r="J18" s="35">
        <f t="shared" si="1"/>
        <v>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29" t="s">
        <v>29</v>
      </c>
      <c r="C19" s="30">
        <v>150.0</v>
      </c>
      <c r="D19" s="31" t="s">
        <v>17</v>
      </c>
      <c r="E19" s="31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31" t="s">
        <v>19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29" t="s">
        <v>31</v>
      </c>
      <c r="C20" s="30">
        <v>550.0</v>
      </c>
      <c r="D20" s="31" t="s">
        <v>17</v>
      </c>
      <c r="E20" s="31" t="s">
        <v>18</v>
      </c>
      <c r="F20" s="32">
        <f>IF(D20="FATTURA P.IVA",C20*SETUP!$C$4*SETUP!$C$5,0)</f>
        <v>0</v>
      </c>
      <c r="G20" s="32">
        <f>IF(AND(D20="FATTURA P.IVA",E20="SI"),C20*SETUP!$C$4*SETUP!$C$11,0)</f>
        <v>0</v>
      </c>
      <c r="H20" s="31" t="s">
        <v>19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29" t="s">
        <v>33</v>
      </c>
      <c r="C21" s="30">
        <v>200.0</v>
      </c>
      <c r="D21" s="31" t="s">
        <v>17</v>
      </c>
      <c r="E21" s="31" t="s">
        <v>18</v>
      </c>
      <c r="F21" s="32">
        <f>IF(D21="FATTURA P.IVA",C21*SETUP!$C$4*SETUP!$C$5,0)</f>
        <v>0</v>
      </c>
      <c r="G21" s="32">
        <f>IF(AND(D21="FATTURA P.IVA",E21="SI"),C21*SETUP!$C$4*SETUP!$C$11,0)</f>
        <v>0</v>
      </c>
      <c r="H21" s="31" t="s">
        <v>19</v>
      </c>
      <c r="I21" s="27" t="s">
        <v>34</v>
      </c>
      <c r="J21" s="37">
        <f>F29</f>
        <v>17.55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50.8365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29"/>
      <c r="C25" s="30"/>
      <c r="D25" s="31"/>
      <c r="E25" s="31"/>
      <c r="F25" s="32">
        <f>IF(D25="FATTURA P.IVA",C25*SETUP!$C$4*SETUP!$C$5,0)</f>
        <v>0</v>
      </c>
      <c r="G25" s="32">
        <f>IF(AND(D25="FATTURA P.IVA",E25="SI"),C25*SETUP!$C$4*SETUP!$C$11,0)</f>
        <v>0</v>
      </c>
      <c r="H25" s="31"/>
      <c r="I25" s="27" t="s">
        <v>38</v>
      </c>
      <c r="J25" s="44">
        <f>K93</f>
        <v>286.90675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29"/>
      <c r="C26" s="30"/>
      <c r="D26" s="31"/>
      <c r="E26" s="31"/>
      <c r="F26" s="32">
        <f>IF(D26="FATTURA P.IVA",C26*SETUP!$C$4*SETUP!$C$5,0)</f>
        <v>0</v>
      </c>
      <c r="G26" s="32">
        <f>IF(AND(D26="FATTURA P.IVA",E26="SI"),C26*SETUP!$C$4*SETUP!$C$11,0)</f>
        <v>0</v>
      </c>
      <c r="H26" s="31"/>
      <c r="I26" s="27" t="s">
        <v>39</v>
      </c>
      <c r="J26" s="45">
        <f>D78</f>
        <v>1807.17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29"/>
      <c r="C27" s="30"/>
      <c r="D27" s="31"/>
      <c r="E27" s="31"/>
      <c r="F27" s="32">
        <f>IF(D27="FATTURA P.IVA",C27*SETUP!$C$4*SETUP!$C$5,0)</f>
        <v>0</v>
      </c>
      <c r="G27" s="32">
        <f>IF(AND(D27="FATTURA P.IVA",E27="SI"),C27*SETUP!$C$4*SETUP!$C$11,0)</f>
        <v>0</v>
      </c>
      <c r="H27" s="31"/>
      <c r="I27" s="27" t="s">
        <v>40</v>
      </c>
      <c r="J27" s="44">
        <f>C92</f>
        <v>639.6465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29"/>
      <c r="C28" s="30"/>
      <c r="D28" s="31"/>
      <c r="E28" s="31"/>
      <c r="F28" s="32">
        <f>IF(D28="FATTURA P.IVA",C28*SETUP!$C$4*SETUP!$C$5,0)</f>
        <v>0</v>
      </c>
      <c r="G28" s="32">
        <f>IF(AND(D28="FATTURA P.IVA",E28="SI"),C28*SETUP!$C$4*SETUP!$C$11,0)</f>
        <v>0</v>
      </c>
      <c r="H28" s="31"/>
      <c r="I28" s="46" t="s">
        <v>41</v>
      </c>
      <c r="J28" s="47">
        <f>B4</f>
        <v>-609.90975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2000</v>
      </c>
      <c r="D29" s="50"/>
      <c r="E29" s="50"/>
      <c r="F29" s="51">
        <f>SUMPRODUCT((D15:D28="FATTURA P.IVA")*(H15:H28="INCASSATO")*C15:C28*SETUP!$C$4*SETUP!$C$5)</f>
        <v>17.55</v>
      </c>
      <c r="G29" s="51">
        <f>SUMPRODUCT((D15:D28="FATTURA P.IVA")*(H15:H28="INCASSATO")*(E15:E28="SI")*C15:C28*SETUP!$C$4*SETUP!$C$11)</f>
        <v>50.8365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 t="s">
        <v>50</v>
      </c>
      <c r="C33" s="57" t="s">
        <v>51</v>
      </c>
      <c r="D33" s="58">
        <v>8.4</v>
      </c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50</v>
      </c>
      <c r="C34" s="62" t="s">
        <v>52</v>
      </c>
      <c r="D34" s="39">
        <v>200.0</v>
      </c>
      <c r="E34" s="63">
        <v>46023.0</v>
      </c>
      <c r="F34" s="64"/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50</v>
      </c>
      <c r="C35" s="62" t="s">
        <v>53</v>
      </c>
      <c r="D35" s="39">
        <v>20.0</v>
      </c>
      <c r="E35" s="63"/>
      <c r="F35" s="64"/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50</v>
      </c>
      <c r="C36" s="62" t="s">
        <v>53</v>
      </c>
      <c r="D36" s="39">
        <v>10.0</v>
      </c>
      <c r="E36" s="63"/>
      <c r="F36" s="64"/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 t="s">
        <v>50</v>
      </c>
      <c r="C37" s="62" t="s">
        <v>51</v>
      </c>
      <c r="D37" s="39">
        <v>8.4</v>
      </c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 t="s">
        <v>50</v>
      </c>
      <c r="C38" s="62" t="s">
        <v>54</v>
      </c>
      <c r="D38" s="39">
        <v>67.0</v>
      </c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 t="s">
        <v>55</v>
      </c>
      <c r="C39" s="62" t="s">
        <v>56</v>
      </c>
      <c r="D39" s="39">
        <v>440.0</v>
      </c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">
        <v>50</v>
      </c>
      <c r="C40" s="62" t="s">
        <v>57</v>
      </c>
      <c r="D40" s="39">
        <v>7.5</v>
      </c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">
        <v>55</v>
      </c>
      <c r="C41" s="62" t="s">
        <v>58</v>
      </c>
      <c r="D41" s="39">
        <v>70.0</v>
      </c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">
        <v>55</v>
      </c>
      <c r="C42" s="62" t="s">
        <v>59</v>
      </c>
      <c r="D42" s="39">
        <v>50.0</v>
      </c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 t="s">
        <v>50</v>
      </c>
      <c r="C43" s="62" t="s">
        <v>60</v>
      </c>
      <c r="D43" s="39">
        <v>30.0</v>
      </c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 t="s">
        <v>50</v>
      </c>
      <c r="C44" s="62" t="s">
        <v>57</v>
      </c>
      <c r="D44" s="39">
        <v>25.0</v>
      </c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 t="s">
        <v>50</v>
      </c>
      <c r="C45" s="62" t="s">
        <v>51</v>
      </c>
      <c r="D45" s="39">
        <v>2.8</v>
      </c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 t="s">
        <v>50</v>
      </c>
      <c r="C46" s="62" t="s">
        <v>61</v>
      </c>
      <c r="D46" s="39">
        <v>13.5</v>
      </c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 t="s">
        <v>50</v>
      </c>
      <c r="C47" s="62" t="s">
        <v>62</v>
      </c>
      <c r="D47" s="39">
        <v>5.0</v>
      </c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 t="s">
        <v>50</v>
      </c>
      <c r="C48" s="62" t="s">
        <v>63</v>
      </c>
      <c r="D48" s="39">
        <v>10.0</v>
      </c>
      <c r="E48" s="63"/>
      <c r="F48" s="64" t="s">
        <v>23</v>
      </c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 t="s">
        <v>64</v>
      </c>
      <c r="C49" s="62" t="s">
        <v>65</v>
      </c>
      <c r="D49" s="39">
        <v>50.0</v>
      </c>
      <c r="E49" s="63"/>
      <c r="F49" s="64" t="s">
        <v>23</v>
      </c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 t="s">
        <v>50</v>
      </c>
      <c r="C50" s="62" t="s">
        <v>66</v>
      </c>
      <c r="D50" s="39">
        <v>30.0</v>
      </c>
      <c r="E50" s="63"/>
      <c r="F50" s="64" t="s">
        <v>23</v>
      </c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 t="s">
        <v>64</v>
      </c>
      <c r="C51" s="62" t="s">
        <v>67</v>
      </c>
      <c r="D51" s="39">
        <v>10.0</v>
      </c>
      <c r="E51" s="63"/>
      <c r="F51" s="64" t="s">
        <v>23</v>
      </c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 t="s">
        <v>64</v>
      </c>
      <c r="C52" s="62" t="s">
        <v>68</v>
      </c>
      <c r="D52" s="39">
        <v>4.5</v>
      </c>
      <c r="E52" s="63"/>
      <c r="F52" s="64" t="s">
        <v>23</v>
      </c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 t="s">
        <v>64</v>
      </c>
      <c r="C53" s="62" t="s">
        <v>69</v>
      </c>
      <c r="D53" s="39">
        <v>8.3</v>
      </c>
      <c r="E53" s="63"/>
      <c r="F53" s="64" t="s">
        <v>23</v>
      </c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 t="s">
        <v>64</v>
      </c>
      <c r="C54" s="62" t="s">
        <v>70</v>
      </c>
      <c r="D54" s="39">
        <v>15.81</v>
      </c>
      <c r="E54" s="63"/>
      <c r="F54" s="64" t="s">
        <v>23</v>
      </c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 t="s">
        <v>55</v>
      </c>
      <c r="C55" s="62" t="s">
        <v>71</v>
      </c>
      <c r="D55" s="39">
        <v>720.96</v>
      </c>
      <c r="E55" s="63"/>
      <c r="F55" s="64" t="s">
        <v>23</v>
      </c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1807.17</v>
      </c>
      <c r="E78" s="50"/>
      <c r="F78" s="50"/>
      <c r="G78" s="50"/>
      <c r="H78" s="1" t="s">
        <v>73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73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73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73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73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50.8365</v>
      </c>
      <c r="D85" s="79">
        <v>0.0</v>
      </c>
      <c r="E85" s="63"/>
      <c r="F85" s="78"/>
      <c r="G85" s="69"/>
      <c r="H85" s="64" t="s">
        <v>73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73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1550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639.6465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450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286.90675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401.86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1807.17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639.6465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-1.355355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450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450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450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84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-242.72975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€250 di fatturato P.IVA  •  €394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250</v>
      </c>
      <c r="C8" s="5"/>
      <c r="D8" s="11">
        <f>K94</f>
        <v>394.06</v>
      </c>
      <c r="E8" s="5"/>
      <c r="F8" s="12" t="str">
        <f>IF(B4&lt;0,"🔴 IN ROSSO",IF(K97&gt;=0.2,"🟢 SANO",IF(K97&gt;=0.1,"🟡 ATTENZIONE","🟠 SAVING BASSO")))</f>
        <v>🔴 IN ROSSO</v>
      </c>
      <c r="G8" s="5"/>
      <c r="H8" s="1"/>
      <c r="I8" s="13" t="str">
        <f>IF(B4&gt;=0,CONCATENATE("✅ €",TEXT(B4,"#,##0")," netti reali questo mese"),CONCATENATE("⚠ Sotto di €",TEXT(-B4,"#,##0")," questo mese"))</f>
        <v>⚠ Sotto di €243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€1.450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-97,1%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€250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250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16</v>
      </c>
      <c r="C15" s="39">
        <v>500.0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19</v>
      </c>
      <c r="I15" s="27" t="s">
        <v>20</v>
      </c>
      <c r="J15" s="28">
        <f>K91</f>
        <v>1450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200.0</v>
      </c>
      <c r="D16" s="40" t="s">
        <v>17</v>
      </c>
      <c r="E16" s="40" t="s">
        <v>18</v>
      </c>
      <c r="F16" s="32">
        <f>IF(D16="FATTURA P.IVA",C16*SETUP!$C$4*SETUP!$C$5,0)</f>
        <v>0</v>
      </c>
      <c r="G16" s="32">
        <f>IF(AND(D16="FATTURA P.IVA",E16="SI"),C16*SETUP!$C$4*SETUP!$C$11,0)</f>
        <v>0</v>
      </c>
      <c r="H16" s="40" t="s">
        <v>19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85</v>
      </c>
      <c r="C17" s="39">
        <v>250.0</v>
      </c>
      <c r="D17" s="40" t="s">
        <v>22</v>
      </c>
      <c r="E17" s="40" t="s">
        <v>23</v>
      </c>
      <c r="F17" s="32">
        <f>IF(D17="FATTURA P.IVA",C17*SETUP!$C$4*SETUP!$C$5,0)</f>
        <v>9.75</v>
      </c>
      <c r="G17" s="32">
        <f>IF(AND(D17="FATTURA P.IVA",E17="SI"),C17*SETUP!$C$4*SETUP!$C$11,0)</f>
        <v>50.8365</v>
      </c>
      <c r="H17" s="40" t="s">
        <v>19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25</v>
      </c>
      <c r="C18" s="39">
        <v>150.0</v>
      </c>
      <c r="D18" s="40" t="s">
        <v>17</v>
      </c>
      <c r="E18" s="40" t="s">
        <v>18</v>
      </c>
      <c r="F18" s="32">
        <f>IF(D18="FATTURA P.IVA",C18*SETUP!$C$4*SETUP!$C$5,0)</f>
        <v>0</v>
      </c>
      <c r="G18" s="32">
        <f>IF(AND(D18="FATTURA P.IVA",E18="SI"),C18*SETUP!$C$4*SETUP!$C$11,0)</f>
        <v>0</v>
      </c>
      <c r="H18" s="40" t="s">
        <v>19</v>
      </c>
      <c r="I18" s="27" t="s">
        <v>28</v>
      </c>
      <c r="J18" s="35">
        <f t="shared" si="1"/>
        <v>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31</v>
      </c>
      <c r="C19" s="39">
        <v>600.0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19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/>
      <c r="C20" s="39"/>
      <c r="D20" s="40"/>
      <c r="E20" s="40"/>
      <c r="F20" s="32">
        <f>IF(D20="FATTURA P.IVA",C20*SETUP!$C$4*SETUP!$C$5,0)</f>
        <v>0</v>
      </c>
      <c r="G20" s="32">
        <f>IF(AND(D20="FATTURA P.IVA",E20="SI"),C20*SETUP!$C$4*SETUP!$C$11,0)</f>
        <v>0</v>
      </c>
      <c r="H20" s="40"/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/>
      <c r="C21" s="39"/>
      <c r="D21" s="40"/>
      <c r="E21" s="40"/>
      <c r="F21" s="32">
        <f>IF(D21="FATTURA P.IVA",C21*SETUP!$C$4*SETUP!$C$5,0)</f>
        <v>0</v>
      </c>
      <c r="G21" s="32">
        <f>IF(AND(D21="FATTURA P.IVA",E21="SI"),C21*SETUP!$C$4*SETUP!$C$11,0)</f>
        <v>0</v>
      </c>
      <c r="H21" s="40"/>
      <c r="I21" s="27" t="s">
        <v>34</v>
      </c>
      <c r="J21" s="37">
        <f>F29</f>
        <v>9.75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50.8365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94.70675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1147.79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639.6465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-242.72975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1700</v>
      </c>
      <c r="D29" s="50"/>
      <c r="E29" s="50"/>
      <c r="F29" s="51">
        <f>SUMPRODUCT((D15:D28="FATTURA P.IVA")*(H15:H28="INCASSATO")*C15:C28*SETUP!$C$4*SETUP!$C$5)</f>
        <v>9.75</v>
      </c>
      <c r="G29" s="51">
        <f>SUMPRODUCT((D15:D28="FATTURA P.IVA")*(H15:H28="INCASSATO")*(E15:E28="SI")*C15:C28*SETUP!$C$4*SETUP!$C$11)</f>
        <v>50.8365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 t="s">
        <v>50</v>
      </c>
      <c r="C33" s="57" t="s">
        <v>86</v>
      </c>
      <c r="D33" s="58">
        <v>9.0</v>
      </c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50</v>
      </c>
      <c r="C34" s="62" t="s">
        <v>86</v>
      </c>
      <c r="D34" s="39">
        <v>10.6</v>
      </c>
      <c r="E34" s="63"/>
      <c r="F34" s="64"/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50</v>
      </c>
      <c r="C35" s="62" t="s">
        <v>53</v>
      </c>
      <c r="D35" s="39">
        <v>6.0</v>
      </c>
      <c r="E35" s="63"/>
      <c r="F35" s="64"/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50</v>
      </c>
      <c r="C36" s="62" t="s">
        <v>53</v>
      </c>
      <c r="D36" s="39">
        <v>6.0</v>
      </c>
      <c r="E36" s="63"/>
      <c r="F36" s="64"/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 t="s">
        <v>50</v>
      </c>
      <c r="C37" s="62" t="s">
        <v>86</v>
      </c>
      <c r="D37" s="39">
        <v>9.0</v>
      </c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 t="s">
        <v>64</v>
      </c>
      <c r="C38" s="62" t="s">
        <v>87</v>
      </c>
      <c r="D38" s="39">
        <v>37.0</v>
      </c>
      <c r="E38" s="63">
        <v>46058.0</v>
      </c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 t="s">
        <v>50</v>
      </c>
      <c r="C39" s="62" t="s">
        <v>88</v>
      </c>
      <c r="D39" s="39">
        <v>60.0</v>
      </c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">
        <v>50</v>
      </c>
      <c r="C40" s="62" t="s">
        <v>54</v>
      </c>
      <c r="D40" s="39">
        <v>30.0</v>
      </c>
      <c r="E40" s="63">
        <v>46058.0</v>
      </c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">
        <v>55</v>
      </c>
      <c r="C41" s="62" t="s">
        <v>89</v>
      </c>
      <c r="D41" s="39">
        <v>60.0</v>
      </c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">
        <v>50</v>
      </c>
      <c r="C42" s="62" t="s">
        <v>90</v>
      </c>
      <c r="D42" s="39">
        <v>5.5</v>
      </c>
      <c r="E42" s="63">
        <v>46058.0</v>
      </c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 t="s">
        <v>50</v>
      </c>
      <c r="C43" s="62" t="s">
        <v>91</v>
      </c>
      <c r="D43" s="39">
        <v>1.5</v>
      </c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 t="s">
        <v>92</v>
      </c>
      <c r="C44" s="62" t="s">
        <v>93</v>
      </c>
      <c r="D44" s="39">
        <v>25.0</v>
      </c>
      <c r="E44" s="63">
        <v>46058.0</v>
      </c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 t="s">
        <v>64</v>
      </c>
      <c r="C45" s="62" t="s">
        <v>94</v>
      </c>
      <c r="D45" s="39">
        <v>5.0</v>
      </c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 t="s">
        <v>50</v>
      </c>
      <c r="C46" s="62" t="s">
        <v>53</v>
      </c>
      <c r="D46" s="39">
        <v>5.0</v>
      </c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 t="s">
        <v>50</v>
      </c>
      <c r="C47" s="62" t="s">
        <v>95</v>
      </c>
      <c r="D47" s="39">
        <v>29.0</v>
      </c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 t="s">
        <v>50</v>
      </c>
      <c r="C48" s="62" t="s">
        <v>96</v>
      </c>
      <c r="D48" s="39">
        <v>17.5</v>
      </c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 t="s">
        <v>50</v>
      </c>
      <c r="C49" s="62" t="s">
        <v>97</v>
      </c>
      <c r="D49" s="39">
        <v>30.6</v>
      </c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 t="s">
        <v>64</v>
      </c>
      <c r="C50" s="62" t="s">
        <v>98</v>
      </c>
      <c r="D50" s="39">
        <v>64.99</v>
      </c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 t="s">
        <v>64</v>
      </c>
      <c r="C51" s="62" t="s">
        <v>99</v>
      </c>
      <c r="D51" s="39">
        <v>20.37</v>
      </c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 t="s">
        <v>64</v>
      </c>
      <c r="C52" s="62" t="s">
        <v>100</v>
      </c>
      <c r="D52" s="39">
        <v>29.6</v>
      </c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 t="s">
        <v>64</v>
      </c>
      <c r="C53" s="62" t="s">
        <v>99</v>
      </c>
      <c r="D53" s="39">
        <v>12.25</v>
      </c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 t="s">
        <v>64</v>
      </c>
      <c r="C54" s="62" t="s">
        <v>101</v>
      </c>
      <c r="D54" s="39">
        <v>7.5</v>
      </c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 t="s">
        <v>102</v>
      </c>
      <c r="C55" s="62" t="s">
        <v>103</v>
      </c>
      <c r="D55" s="39">
        <v>10.4</v>
      </c>
      <c r="E55" s="63"/>
      <c r="F55" s="64" t="s">
        <v>23</v>
      </c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 t="s">
        <v>50</v>
      </c>
      <c r="C56" s="62" t="s">
        <v>69</v>
      </c>
      <c r="D56" s="39">
        <v>6.7</v>
      </c>
      <c r="E56" s="63"/>
      <c r="F56" s="64" t="s">
        <v>23</v>
      </c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 t="s">
        <v>64</v>
      </c>
      <c r="C57" s="62" t="s">
        <v>104</v>
      </c>
      <c r="D57" s="39">
        <v>600.0</v>
      </c>
      <c r="E57" s="63"/>
      <c r="F57" s="64" t="s">
        <v>23</v>
      </c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 t="s">
        <v>64</v>
      </c>
      <c r="C58" s="62" t="s">
        <v>105</v>
      </c>
      <c r="D58" s="39">
        <v>20.67</v>
      </c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 t="s">
        <v>64</v>
      </c>
      <c r="C59" s="62" t="s">
        <v>68</v>
      </c>
      <c r="D59" s="39">
        <v>4.5</v>
      </c>
      <c r="E59" s="63"/>
      <c r="F59" s="64" t="s">
        <v>23</v>
      </c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 t="s">
        <v>64</v>
      </c>
      <c r="C60" s="62" t="s">
        <v>69</v>
      </c>
      <c r="D60" s="39">
        <v>8.3</v>
      </c>
      <c r="E60" s="63"/>
      <c r="F60" s="64" t="s">
        <v>23</v>
      </c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 t="s">
        <v>64</v>
      </c>
      <c r="C61" s="62" t="s">
        <v>70</v>
      </c>
      <c r="D61" s="39">
        <v>15.81</v>
      </c>
      <c r="E61" s="63"/>
      <c r="F61" s="64" t="s">
        <v>23</v>
      </c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1147.79</v>
      </c>
      <c r="E78" s="50"/>
      <c r="F78" s="50"/>
      <c r="G78" s="50"/>
      <c r="H78" s="1" t="s">
        <v>73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73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73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73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73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50.8365</v>
      </c>
      <c r="D85" s="79">
        <v>0.0</v>
      </c>
      <c r="E85" s="63"/>
      <c r="F85" s="78"/>
      <c r="G85" s="69"/>
      <c r="H85" s="64" t="s">
        <v>73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73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1450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639.6465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250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94.70675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394.06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1147.79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639.6465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-0.970919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250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250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250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106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-272.5547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€1.300 di fatturato P.IVA  •  €435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1300</v>
      </c>
      <c r="C8" s="5"/>
      <c r="D8" s="11">
        <f>K94</f>
        <v>435.01</v>
      </c>
      <c r="E8" s="5"/>
      <c r="F8" s="12" t="str">
        <f>IF(B4&lt;0,"🔴 IN ROSSO",IF(K97&gt;=0.2,"🟢 SANO",IF(K97&gt;=0.1,"🟡 ATTENZIONE","🟠 SAVING BASSO")))</f>
        <v>🔴 IN ROSSO</v>
      </c>
      <c r="G8" s="5"/>
      <c r="H8" s="1"/>
      <c r="I8" s="13" t="str">
        <f>IF(B4&gt;=0,CONCATENATE("✅ €",TEXT(B4,"#,##0")," netti reali questo mese"),CONCATENATE("⚠ Sotto di €",TEXT(-B4,"#,##0")," questo mese"))</f>
        <v>⚠ Sotto di €273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€1.450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-21,0%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€1.300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1300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16</v>
      </c>
      <c r="C15" s="39">
        <v>900.0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19</v>
      </c>
      <c r="I15" s="27" t="s">
        <v>20</v>
      </c>
      <c r="J15" s="28">
        <f>K91</f>
        <v>1450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200.0</v>
      </c>
      <c r="D16" s="40" t="s">
        <v>17</v>
      </c>
      <c r="E16" s="40" t="s">
        <v>18</v>
      </c>
      <c r="F16" s="32">
        <f>IF(D16="FATTURA P.IVA",C16*SETUP!$C$4*SETUP!$C$5,0)</f>
        <v>0</v>
      </c>
      <c r="G16" s="32">
        <f>IF(AND(D16="FATTURA P.IVA",E16="SI"),C16*SETUP!$C$4*SETUP!$C$11,0)</f>
        <v>0</v>
      </c>
      <c r="H16" s="40" t="s">
        <v>19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85</v>
      </c>
      <c r="C17" s="39">
        <v>250.0</v>
      </c>
      <c r="D17" s="40" t="s">
        <v>22</v>
      </c>
      <c r="E17" s="40" t="s">
        <v>23</v>
      </c>
      <c r="F17" s="32">
        <f>IF(D17="FATTURA P.IVA",C17*SETUP!$C$4*SETUP!$C$5,0)</f>
        <v>9.75</v>
      </c>
      <c r="G17" s="32">
        <f>IF(AND(D17="FATTURA P.IVA",E17="SI"),C17*SETUP!$C$4*SETUP!$C$11,0)</f>
        <v>50.8365</v>
      </c>
      <c r="H17" s="40" t="s">
        <v>19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25</v>
      </c>
      <c r="C18" s="39">
        <v>150.0</v>
      </c>
      <c r="D18" s="40" t="s">
        <v>17</v>
      </c>
      <c r="E18" s="40" t="s">
        <v>18</v>
      </c>
      <c r="F18" s="32">
        <f>IF(D18="FATTURA P.IVA",C18*SETUP!$C$4*SETUP!$C$5,0)</f>
        <v>0</v>
      </c>
      <c r="G18" s="32">
        <f>IF(AND(D18="FATTURA P.IVA",E18="SI"),C18*SETUP!$C$4*SETUP!$C$11,0)</f>
        <v>0</v>
      </c>
      <c r="H18" s="40" t="s">
        <v>19</v>
      </c>
      <c r="I18" s="27" t="s">
        <v>28</v>
      </c>
      <c r="J18" s="35">
        <f t="shared" si="1"/>
        <v>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107</v>
      </c>
      <c r="C19" s="39">
        <v>550.0</v>
      </c>
      <c r="D19" s="40" t="s">
        <v>22</v>
      </c>
      <c r="E19" s="40" t="s">
        <v>23</v>
      </c>
      <c r="F19" s="32">
        <f>IF(D19="FATTURA P.IVA",C19*SETUP!$C$4*SETUP!$C$5,0)</f>
        <v>21.45</v>
      </c>
      <c r="G19" s="32">
        <f>IF(AND(D19="FATTURA P.IVA",E19="SI"),C19*SETUP!$C$4*SETUP!$C$11,0)</f>
        <v>111.8403</v>
      </c>
      <c r="H19" s="40" t="s">
        <v>19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108</v>
      </c>
      <c r="C20" s="39">
        <v>500.0</v>
      </c>
      <c r="D20" s="40" t="s">
        <v>22</v>
      </c>
      <c r="E20" s="40" t="s">
        <v>23</v>
      </c>
      <c r="F20" s="32">
        <f>IF(D20="FATTURA P.IVA",C20*SETUP!$C$4*SETUP!$C$5,0)</f>
        <v>19.5</v>
      </c>
      <c r="G20" s="32">
        <f>IF(AND(D20="FATTURA P.IVA",E20="SI"),C20*SETUP!$C$4*SETUP!$C$11,0)</f>
        <v>101.673</v>
      </c>
      <c r="H20" s="40" t="s">
        <v>19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109</v>
      </c>
      <c r="C21" s="39">
        <v>200.0</v>
      </c>
      <c r="D21" s="40" t="s">
        <v>17</v>
      </c>
      <c r="E21" s="40" t="s">
        <v>18</v>
      </c>
      <c r="F21" s="32">
        <f>IF(D21="FATTURA P.IVA",C21*SETUP!$C$4*SETUP!$C$5,0)</f>
        <v>0</v>
      </c>
      <c r="G21" s="32">
        <f>IF(AND(D21="FATTURA P.IVA",E21="SI"),C21*SETUP!$C$4*SETUP!$C$11,0)</f>
        <v>0</v>
      </c>
      <c r="H21" s="40" t="s">
        <v>19</v>
      </c>
      <c r="I21" s="27" t="s">
        <v>34</v>
      </c>
      <c r="J21" s="37">
        <f>F29</f>
        <v>50.7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264.3498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492.4751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1361.87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853.1598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-272.5547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2750</v>
      </c>
      <c r="D29" s="50"/>
      <c r="E29" s="50"/>
      <c r="F29" s="51">
        <f>SUMPRODUCT((D15:D28="FATTURA P.IVA")*(H15:H28="INCASSATO")*C15:C28*SETUP!$C$4*SETUP!$C$5)</f>
        <v>50.7</v>
      </c>
      <c r="G29" s="51">
        <f>SUMPRODUCT((D15:D28="FATTURA P.IVA")*(H15:H28="INCASSATO")*(E15:E28="SI")*C15:C28*SETUP!$C$4*SETUP!$C$11)</f>
        <v>264.3498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 t="s">
        <v>64</v>
      </c>
      <c r="C33" s="57" t="s">
        <v>110</v>
      </c>
      <c r="D33" s="58">
        <v>180.0</v>
      </c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50</v>
      </c>
      <c r="C34" s="62" t="s">
        <v>96</v>
      </c>
      <c r="D34" s="39">
        <v>10.0</v>
      </c>
      <c r="E34" s="63"/>
      <c r="F34" s="64"/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111</v>
      </c>
      <c r="D35" s="39">
        <v>7.0</v>
      </c>
      <c r="E35" s="63"/>
      <c r="F35" s="64"/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50</v>
      </c>
      <c r="C36" s="62" t="s">
        <v>112</v>
      </c>
      <c r="D36" s="39">
        <v>140.0</v>
      </c>
      <c r="E36" s="63"/>
      <c r="F36" s="64"/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 t="s">
        <v>64</v>
      </c>
      <c r="C37" s="62" t="s">
        <v>110</v>
      </c>
      <c r="D37" s="39">
        <v>180.0</v>
      </c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 t="s">
        <v>55</v>
      </c>
      <c r="C38" s="62" t="s">
        <v>88</v>
      </c>
      <c r="D38" s="39">
        <v>50.0</v>
      </c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 t="s">
        <v>50</v>
      </c>
      <c r="C39" s="62" t="s">
        <v>113</v>
      </c>
      <c r="D39" s="39">
        <v>5.8</v>
      </c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">
        <v>64</v>
      </c>
      <c r="C40" s="62" t="s">
        <v>114</v>
      </c>
      <c r="D40" s="39">
        <v>24.4</v>
      </c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">
        <v>50</v>
      </c>
      <c r="C41" s="62" t="s">
        <v>54</v>
      </c>
      <c r="D41" s="39">
        <v>5.0</v>
      </c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">
        <v>50</v>
      </c>
      <c r="C42" s="62" t="s">
        <v>115</v>
      </c>
      <c r="D42" s="39">
        <v>38.0</v>
      </c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 t="s">
        <v>50</v>
      </c>
      <c r="C43" s="62" t="s">
        <v>115</v>
      </c>
      <c r="D43" s="39">
        <v>35.0</v>
      </c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 t="s">
        <v>55</v>
      </c>
      <c r="C44" s="62" t="s">
        <v>88</v>
      </c>
      <c r="D44" s="39">
        <v>40.0</v>
      </c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 t="s">
        <v>55</v>
      </c>
      <c r="C45" s="62" t="s">
        <v>88</v>
      </c>
      <c r="D45" s="39">
        <v>50.0</v>
      </c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 t="s">
        <v>50</v>
      </c>
      <c r="C46" s="62" t="s">
        <v>116</v>
      </c>
      <c r="D46" s="39">
        <v>10.0</v>
      </c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 t="s">
        <v>50</v>
      </c>
      <c r="C47" s="62" t="s">
        <v>117</v>
      </c>
      <c r="D47" s="39">
        <v>119.0</v>
      </c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 t="s">
        <v>50</v>
      </c>
      <c r="C48" s="62" t="s">
        <v>118</v>
      </c>
      <c r="D48" s="39">
        <v>16.0</v>
      </c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 t="s">
        <v>50</v>
      </c>
      <c r="C49" s="62" t="s">
        <v>119</v>
      </c>
      <c r="D49" s="39">
        <v>60.0</v>
      </c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 t="s">
        <v>64</v>
      </c>
      <c r="C50" s="62" t="s">
        <v>120</v>
      </c>
      <c r="D50" s="39">
        <v>20.0</v>
      </c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 t="s">
        <v>50</v>
      </c>
      <c r="C51" s="62" t="s">
        <v>96</v>
      </c>
      <c r="D51" s="39">
        <v>15.0</v>
      </c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 t="s">
        <v>55</v>
      </c>
      <c r="C52" s="62" t="s">
        <v>88</v>
      </c>
      <c r="D52" s="39">
        <v>50.0</v>
      </c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 t="s">
        <v>50</v>
      </c>
      <c r="C53" s="62" t="s">
        <v>121</v>
      </c>
      <c r="D53" s="39">
        <v>10.0</v>
      </c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 t="s">
        <v>50</v>
      </c>
      <c r="C54" s="62" t="s">
        <v>86</v>
      </c>
      <c r="D54" s="39">
        <v>6.0</v>
      </c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 t="s">
        <v>50</v>
      </c>
      <c r="C55" s="62" t="s">
        <v>53</v>
      </c>
      <c r="D55" s="39">
        <v>10.0</v>
      </c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 t="s">
        <v>50</v>
      </c>
      <c r="C56" s="62" t="s">
        <v>122</v>
      </c>
      <c r="D56" s="39">
        <v>28.0</v>
      </c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 t="s">
        <v>50</v>
      </c>
      <c r="C57" s="62" t="s">
        <v>123</v>
      </c>
      <c r="D57" s="39">
        <v>33.5</v>
      </c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 t="s">
        <v>50</v>
      </c>
      <c r="C58" s="62" t="s">
        <v>123</v>
      </c>
      <c r="D58" s="39">
        <v>9.0</v>
      </c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 t="s">
        <v>50</v>
      </c>
      <c r="C59" s="62" t="s">
        <v>86</v>
      </c>
      <c r="D59" s="39">
        <v>2.9</v>
      </c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 t="s">
        <v>50</v>
      </c>
      <c r="C60" s="62" t="s">
        <v>124</v>
      </c>
      <c r="D60" s="39">
        <v>11.0</v>
      </c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 t="s">
        <v>50</v>
      </c>
      <c r="C61" s="62" t="s">
        <v>125</v>
      </c>
      <c r="D61" s="39">
        <v>20.0</v>
      </c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 t="s">
        <v>50</v>
      </c>
      <c r="C62" s="62" t="s">
        <v>91</v>
      </c>
      <c r="D62" s="39">
        <v>8.0</v>
      </c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 t="s">
        <v>64</v>
      </c>
      <c r="C63" s="62" t="s">
        <v>126</v>
      </c>
      <c r="D63" s="39">
        <v>21.43</v>
      </c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 t="s">
        <v>50</v>
      </c>
      <c r="C64" s="62" t="s">
        <v>53</v>
      </c>
      <c r="D64" s="39">
        <v>5.0</v>
      </c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 t="s">
        <v>64</v>
      </c>
      <c r="C65" s="62" t="s">
        <v>126</v>
      </c>
      <c r="D65" s="39">
        <v>4.23</v>
      </c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 t="s">
        <v>50</v>
      </c>
      <c r="C66" s="62" t="s">
        <v>127</v>
      </c>
      <c r="D66" s="39">
        <v>2.8</v>
      </c>
      <c r="E66" s="63"/>
      <c r="F66" s="64" t="s">
        <v>23</v>
      </c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 t="s">
        <v>50</v>
      </c>
      <c r="C67" s="62" t="s">
        <v>90</v>
      </c>
      <c r="D67" s="39">
        <v>5.0</v>
      </c>
      <c r="E67" s="63"/>
      <c r="F67" s="64" t="s">
        <v>23</v>
      </c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 t="s">
        <v>50</v>
      </c>
      <c r="C68" s="62" t="s">
        <v>86</v>
      </c>
      <c r="D68" s="39">
        <v>1.2</v>
      </c>
      <c r="E68" s="63"/>
      <c r="F68" s="64" t="s">
        <v>23</v>
      </c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 t="s">
        <v>64</v>
      </c>
      <c r="C69" s="62" t="s">
        <v>128</v>
      </c>
      <c r="D69" s="39">
        <v>100.0</v>
      </c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 t="s">
        <v>64</v>
      </c>
      <c r="C70" s="62" t="s">
        <v>68</v>
      </c>
      <c r="D70" s="39">
        <v>4.5</v>
      </c>
      <c r="E70" s="63"/>
      <c r="F70" s="64" t="s">
        <v>23</v>
      </c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 t="s">
        <v>64</v>
      </c>
      <c r="C71" s="62" t="s">
        <v>69</v>
      </c>
      <c r="D71" s="39">
        <v>8.3</v>
      </c>
      <c r="E71" s="63"/>
      <c r="F71" s="64" t="s">
        <v>23</v>
      </c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 t="s">
        <v>64</v>
      </c>
      <c r="C72" s="62" t="s">
        <v>70</v>
      </c>
      <c r="D72" s="39">
        <v>15.81</v>
      </c>
      <c r="E72" s="63"/>
      <c r="F72" s="64" t="s">
        <v>23</v>
      </c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1361.87</v>
      </c>
      <c r="E78" s="50"/>
      <c r="F78" s="50"/>
      <c r="G78" s="50"/>
      <c r="H78" s="1" t="s">
        <v>73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73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73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73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73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264.3498</v>
      </c>
      <c r="D85" s="79">
        <v>0.0</v>
      </c>
      <c r="E85" s="63"/>
      <c r="F85" s="78"/>
      <c r="G85" s="69"/>
      <c r="H85" s="64" t="s">
        <v>73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73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1450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853.1598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1300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492.4751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435.01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1361.87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853.1598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-0.2096574615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1300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1300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1300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129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118.92985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€1.850 di fatturato P.IVA  •  €456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1850</v>
      </c>
      <c r="C8" s="5"/>
      <c r="D8" s="11">
        <f>K94</f>
        <v>456.46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€119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€1.138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6,4%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€1.850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1850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16</v>
      </c>
      <c r="C15" s="39">
        <v>400.0</v>
      </c>
      <c r="D15" s="40" t="s">
        <v>17</v>
      </c>
      <c r="E15" s="40" t="s">
        <v>23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19</v>
      </c>
      <c r="I15" s="27" t="s">
        <v>20</v>
      </c>
      <c r="J15" s="28">
        <f>K91</f>
        <v>1138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19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19</v>
      </c>
      <c r="I17" s="27" t="s">
        <v>26</v>
      </c>
      <c r="J17" s="35">
        <f t="shared" ref="J17:J19" si="1">K106</f>
        <v>1500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25</v>
      </c>
      <c r="C18" s="39">
        <v>150.0</v>
      </c>
      <c r="D18" s="40" t="s">
        <v>17</v>
      </c>
      <c r="E18" s="40" t="s">
        <v>18</v>
      </c>
      <c r="F18" s="32">
        <f>IF(D18="FATTURA P.IVA",C18*SETUP!$C$4*SETUP!$C$5,0)</f>
        <v>0</v>
      </c>
      <c r="G18" s="32">
        <f>IF(AND(D18="FATTURA P.IVA",E18="SI"),C18*SETUP!$C$4*SETUP!$C$11,0)</f>
        <v>0</v>
      </c>
      <c r="H18" s="40" t="s">
        <v>19</v>
      </c>
      <c r="I18" s="27" t="s">
        <v>28</v>
      </c>
      <c r="J18" s="35">
        <f t="shared" si="1"/>
        <v>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107</v>
      </c>
      <c r="C19" s="39">
        <v>550.0</v>
      </c>
      <c r="D19" s="40" t="s">
        <v>22</v>
      </c>
      <c r="E19" s="40" t="s">
        <v>23</v>
      </c>
      <c r="F19" s="32">
        <f>IF(D19="FATTURA P.IVA",C19*SETUP!$C$4*SETUP!$C$5,0)</f>
        <v>21.45</v>
      </c>
      <c r="G19" s="32">
        <f>IF(AND(D19="FATTURA P.IVA",E19="SI"),C19*SETUP!$C$4*SETUP!$C$11,0)</f>
        <v>111.8403</v>
      </c>
      <c r="H19" s="40" t="s">
        <v>19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124</v>
      </c>
      <c r="C20" s="39">
        <v>550.0</v>
      </c>
      <c r="D20" s="40" t="s">
        <v>22</v>
      </c>
      <c r="E20" s="40" t="s">
        <v>23</v>
      </c>
      <c r="F20" s="32">
        <f>IF(D20="FATTURA P.IVA",C20*SETUP!$C$4*SETUP!$C$5,0)</f>
        <v>21.45</v>
      </c>
      <c r="G20" s="32">
        <f>IF(AND(D20="FATTURA P.IVA",E20="SI"),C20*SETUP!$C$4*SETUP!$C$11,0)</f>
        <v>111.8403</v>
      </c>
      <c r="H20" s="40" t="s">
        <v>19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108</v>
      </c>
      <c r="C21" s="39">
        <v>500.0</v>
      </c>
      <c r="D21" s="40" t="s">
        <v>22</v>
      </c>
      <c r="E21" s="40" t="s">
        <v>23</v>
      </c>
      <c r="F21" s="32">
        <f>IF(D21="FATTURA P.IVA",C21*SETUP!$C$4*SETUP!$C$5,0)</f>
        <v>19.5</v>
      </c>
      <c r="G21" s="32">
        <f>IF(AND(D21="FATTURA P.IVA",E21="SI"),C21*SETUP!$C$4*SETUP!$C$11,0)</f>
        <v>101.673</v>
      </c>
      <c r="H21" s="40" t="s">
        <v>19</v>
      </c>
      <c r="I21" s="27" t="s">
        <v>34</v>
      </c>
      <c r="J21" s="37">
        <f>F29</f>
        <v>72.15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 t="s">
        <v>130</v>
      </c>
      <c r="C22" s="39">
        <v>308.0</v>
      </c>
      <c r="D22" s="40" t="s">
        <v>17</v>
      </c>
      <c r="E22" s="40" t="s">
        <v>18</v>
      </c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 t="s">
        <v>19</v>
      </c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 t="s">
        <v>131</v>
      </c>
      <c r="C23" s="39">
        <v>700.0</v>
      </c>
      <c r="D23" s="40" t="s">
        <v>22</v>
      </c>
      <c r="E23" s="40" t="s">
        <v>18</v>
      </c>
      <c r="F23" s="32">
        <f>IF(D23="FATTURA P.IVA",C23*SETUP!$C$4*SETUP!$C$5,0)</f>
        <v>27.3</v>
      </c>
      <c r="G23" s="32">
        <f>IF(AND(D23="FATTURA P.IVA",E23="SI"),C23*SETUP!$C$4*SETUP!$C$11,0)</f>
        <v>0</v>
      </c>
      <c r="H23" s="86" t="s">
        <v>132</v>
      </c>
      <c r="I23" s="27" t="s">
        <v>36</v>
      </c>
      <c r="J23" s="37">
        <f>G29</f>
        <v>376.1901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 t="s">
        <v>133</v>
      </c>
      <c r="C24" s="39">
        <v>800.0</v>
      </c>
      <c r="D24" s="40" t="s">
        <v>22</v>
      </c>
      <c r="E24" s="40" t="s">
        <v>23</v>
      </c>
      <c r="F24" s="32">
        <f>IF(D24="FATTURA P.IVA",C24*SETUP!$C$4*SETUP!$C$5,0)</f>
        <v>31.2</v>
      </c>
      <c r="G24" s="32">
        <f>IF(AND(D24="FATTURA P.IVA",E24="SI"),C24*SETUP!$C$4*SETUP!$C$11,0)</f>
        <v>162.6768</v>
      </c>
      <c r="H24" s="86" t="s">
        <v>132</v>
      </c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87" t="s">
        <v>134</v>
      </c>
      <c r="C25" s="88">
        <v>80.0</v>
      </c>
      <c r="D25" s="86" t="s">
        <v>17</v>
      </c>
      <c r="E25" s="86" t="s">
        <v>18</v>
      </c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700.82995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754.9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965.0001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118.92985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4488</v>
      </c>
      <c r="D29" s="50"/>
      <c r="E29" s="50"/>
      <c r="F29" s="51">
        <f>SUMPRODUCT((D15:D28="FATTURA P.IVA")*(H15:H28="INCASSATO")*C15:C28*SETUP!$C$4*SETUP!$C$5)</f>
        <v>72.15</v>
      </c>
      <c r="G29" s="51">
        <f>SUMPRODUCT((D15:D28="FATTURA P.IVA")*(H15:H28="INCASSATO")*(E15:E28="SI")*C15:C28*SETUP!$C$4*SETUP!$C$11)</f>
        <v>376.1901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 t="s">
        <v>50</v>
      </c>
      <c r="C33" s="57" t="s">
        <v>54</v>
      </c>
      <c r="D33" s="58">
        <v>24.0</v>
      </c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50</v>
      </c>
      <c r="C34" s="62" t="s">
        <v>135</v>
      </c>
      <c r="D34" s="39">
        <v>100.0</v>
      </c>
      <c r="E34" s="63"/>
      <c r="F34" s="64"/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50</v>
      </c>
      <c r="C35" s="62" t="s">
        <v>67</v>
      </c>
      <c r="D35" s="39">
        <v>17.0</v>
      </c>
      <c r="E35" s="63"/>
      <c r="F35" s="64"/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50</v>
      </c>
      <c r="C36" s="62" t="s">
        <v>51</v>
      </c>
      <c r="D36" s="39">
        <v>5.0</v>
      </c>
      <c r="E36" s="63"/>
      <c r="F36" s="64"/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 t="s">
        <v>50</v>
      </c>
      <c r="C37" s="62" t="s">
        <v>54</v>
      </c>
      <c r="D37" s="39">
        <v>24.0</v>
      </c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 t="s">
        <v>55</v>
      </c>
      <c r="C38" s="62" t="s">
        <v>88</v>
      </c>
      <c r="D38" s="39">
        <v>50.0</v>
      </c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 t="s">
        <v>50</v>
      </c>
      <c r="C39" s="62" t="s">
        <v>136</v>
      </c>
      <c r="D39" s="39">
        <v>10.0</v>
      </c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">
        <v>50</v>
      </c>
      <c r="C40" s="62" t="s">
        <v>137</v>
      </c>
      <c r="D40" s="39">
        <v>54.0</v>
      </c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">
        <v>50</v>
      </c>
      <c r="C41" s="62" t="s">
        <v>138</v>
      </c>
      <c r="D41" s="39">
        <v>5.0</v>
      </c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">
        <v>50</v>
      </c>
      <c r="C42" s="62" t="s">
        <v>139</v>
      </c>
      <c r="D42" s="39">
        <v>3.0</v>
      </c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 t="s">
        <v>50</v>
      </c>
      <c r="C43" s="62" t="s">
        <v>140</v>
      </c>
      <c r="D43" s="39">
        <v>3.0</v>
      </c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 t="s">
        <v>50</v>
      </c>
      <c r="C44" s="62" t="s">
        <v>141</v>
      </c>
      <c r="D44" s="39">
        <v>28.0</v>
      </c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 t="s">
        <v>50</v>
      </c>
      <c r="C45" s="62" t="s">
        <v>136</v>
      </c>
      <c r="D45" s="39">
        <v>10.0</v>
      </c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 t="s">
        <v>50</v>
      </c>
      <c r="C46" s="62" t="s">
        <v>142</v>
      </c>
      <c r="D46" s="39">
        <v>6.5</v>
      </c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 t="s">
        <v>50</v>
      </c>
      <c r="C47" s="62" t="s">
        <v>143</v>
      </c>
      <c r="D47" s="39">
        <v>90.0</v>
      </c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 t="s">
        <v>64</v>
      </c>
      <c r="C48" s="62" t="s">
        <v>144</v>
      </c>
      <c r="D48" s="39">
        <v>28.0</v>
      </c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 t="s">
        <v>50</v>
      </c>
      <c r="C49" s="62" t="s">
        <v>51</v>
      </c>
      <c r="D49" s="39">
        <v>10.0</v>
      </c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 t="s">
        <v>50</v>
      </c>
      <c r="C50" s="62" t="s">
        <v>145</v>
      </c>
      <c r="D50" s="39">
        <v>20.0</v>
      </c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 t="s">
        <v>50</v>
      </c>
      <c r="C51" s="62" t="s">
        <v>146</v>
      </c>
      <c r="D51" s="39">
        <v>4.4</v>
      </c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 t="s">
        <v>50</v>
      </c>
      <c r="C52" s="62" t="s">
        <v>147</v>
      </c>
      <c r="D52" s="39">
        <v>10.0</v>
      </c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 t="s">
        <v>50</v>
      </c>
      <c r="C53" s="62" t="s">
        <v>148</v>
      </c>
      <c r="D53" s="39">
        <v>5.9</v>
      </c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 t="s">
        <v>50</v>
      </c>
      <c r="C54" s="62" t="s">
        <v>149</v>
      </c>
      <c r="D54" s="39">
        <v>2.9</v>
      </c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 t="s">
        <v>50</v>
      </c>
      <c r="C55" s="62" t="s">
        <v>150</v>
      </c>
      <c r="D55" s="39">
        <v>5.0</v>
      </c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 t="s">
        <v>64</v>
      </c>
      <c r="C56" s="62" t="s">
        <v>151</v>
      </c>
      <c r="D56" s="39">
        <v>4.64</v>
      </c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 t="s">
        <v>64</v>
      </c>
      <c r="C57" s="62" t="s">
        <v>151</v>
      </c>
      <c r="D57" s="39">
        <v>103.0</v>
      </c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 t="s">
        <v>50</v>
      </c>
      <c r="C58" s="62" t="s">
        <v>152</v>
      </c>
      <c r="D58" s="39">
        <v>3.9</v>
      </c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 t="s">
        <v>50</v>
      </c>
      <c r="C59" s="62" t="s">
        <v>153</v>
      </c>
      <c r="D59" s="39">
        <v>1.8</v>
      </c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 t="s">
        <v>50</v>
      </c>
      <c r="C60" s="62" t="s">
        <v>154</v>
      </c>
      <c r="D60" s="39">
        <v>4.1</v>
      </c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 t="s">
        <v>50</v>
      </c>
      <c r="C61" s="62" t="s">
        <v>91</v>
      </c>
      <c r="D61" s="39">
        <v>6.5</v>
      </c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 t="s">
        <v>50</v>
      </c>
      <c r="C62" s="62" t="s">
        <v>155</v>
      </c>
      <c r="D62" s="39">
        <v>13.0</v>
      </c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 t="s">
        <v>50</v>
      </c>
      <c r="C63" s="62" t="s">
        <v>156</v>
      </c>
      <c r="D63" s="39">
        <v>2.2</v>
      </c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 t="s">
        <v>50</v>
      </c>
      <c r="C64" s="62" t="s">
        <v>157</v>
      </c>
      <c r="D64" s="39">
        <v>15.0</v>
      </c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 t="s">
        <v>50</v>
      </c>
      <c r="C65" s="62" t="s">
        <v>158</v>
      </c>
      <c r="D65" s="39">
        <v>16.5</v>
      </c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 t="s">
        <v>50</v>
      </c>
      <c r="C66" s="62" t="s">
        <v>159</v>
      </c>
      <c r="D66" s="39">
        <v>5.3</v>
      </c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 t="s">
        <v>55</v>
      </c>
      <c r="C67" s="62" t="s">
        <v>160</v>
      </c>
      <c r="D67" s="39">
        <v>15.85</v>
      </c>
      <c r="E67" s="63"/>
      <c r="F67" s="64" t="s">
        <v>23</v>
      </c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 t="s">
        <v>50</v>
      </c>
      <c r="C68" s="62" t="s">
        <v>91</v>
      </c>
      <c r="D68" s="39">
        <v>5.0</v>
      </c>
      <c r="E68" s="63"/>
      <c r="F68" s="64" t="s">
        <v>23</v>
      </c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 t="s">
        <v>50</v>
      </c>
      <c r="C69" s="62" t="s">
        <v>86</v>
      </c>
      <c r="D69" s="39">
        <v>2.0</v>
      </c>
      <c r="E69" s="63"/>
      <c r="F69" s="64" t="s">
        <v>23</v>
      </c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 t="s">
        <v>50</v>
      </c>
      <c r="C70" s="62" t="s">
        <v>161</v>
      </c>
      <c r="D70" s="39">
        <v>11.8</v>
      </c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 t="s">
        <v>64</v>
      </c>
      <c r="C71" s="62" t="s">
        <v>68</v>
      </c>
      <c r="D71" s="39">
        <v>4.5</v>
      </c>
      <c r="E71" s="63"/>
      <c r="F71" s="64" t="s">
        <v>23</v>
      </c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 t="s">
        <v>64</v>
      </c>
      <c r="C72" s="62" t="s">
        <v>69</v>
      </c>
      <c r="D72" s="39">
        <v>8.3</v>
      </c>
      <c r="E72" s="63"/>
      <c r="F72" s="64" t="s">
        <v>23</v>
      </c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 t="s">
        <v>64</v>
      </c>
      <c r="C73" s="62" t="s">
        <v>70</v>
      </c>
      <c r="D73" s="39">
        <v>15.81</v>
      </c>
      <c r="E73" s="63"/>
      <c r="F73" s="64" t="s">
        <v>23</v>
      </c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754.9</v>
      </c>
      <c r="E78" s="50"/>
      <c r="F78" s="50"/>
      <c r="G78" s="50"/>
      <c r="H78" s="1" t="s">
        <v>73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73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73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73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73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376.1901</v>
      </c>
      <c r="D85" s="79">
        <v>0.0</v>
      </c>
      <c r="E85" s="63"/>
      <c r="F85" s="78"/>
      <c r="G85" s="69"/>
      <c r="H85" s="64" t="s">
        <v>73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73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1138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965.0001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1850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700.82995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456.46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754.9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965.0001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0.06428640541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3350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3350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3350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1500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162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6145.65025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€250 di fatturato P.IVA  •  €394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250</v>
      </c>
      <c r="C8" s="5"/>
      <c r="D8" s="11">
        <f>K94</f>
        <v>394.06</v>
      </c>
      <c r="E8" s="5"/>
      <c r="F8" s="12" t="str">
        <f>IF(B4&lt;0,"🔴 IN ROSSO",IF(K98&gt;=0.2,"🟢 SANO",IF(K98&gt;=0.1,"🟡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€6.146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€",TEXT(K92,"#,##0")," entrate private")</f>
        <v>+ €250 entrate private</v>
      </c>
      <c r="C9" s="5"/>
      <c r="D9" s="15" t="str">
        <f>CONCATENATE("Tasse €",TEXT(F26,"#,##0")," + INPS €",TEXT(SETUP!$C$6,"#,##0"))</f>
        <v>Tasse €0 + INPS €384</v>
      </c>
      <c r="E9" s="5"/>
      <c r="F9" s="15" t="str">
        <f>CONCATENATE("Saving rate ",TEXT(K98,"0.0%"))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€",TEXT(K93,"#,##0"),"  •  Vedi DASHBOARD per il monitoraggio annuale")</f>
        <v>⚠ Soglia INPS lordo annua: €23.608  •  Fatturato P.IVA mese: €95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250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16</v>
      </c>
      <c r="C15" s="39">
        <v>500.0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132</v>
      </c>
      <c r="I15" s="27" t="s">
        <v>20</v>
      </c>
      <c r="J15" s="28">
        <f>K91</f>
        <v>7058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86" t="s">
        <v>19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132</v>
      </c>
      <c r="I17" s="27" t="s">
        <v>26</v>
      </c>
      <c r="J17" s="35">
        <f t="shared" ref="J17:J19" si="1">K106</f>
        <v>2050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25</v>
      </c>
      <c r="C18" s="39">
        <v>150.0</v>
      </c>
      <c r="D18" s="40" t="s">
        <v>17</v>
      </c>
      <c r="E18" s="40" t="s">
        <v>18</v>
      </c>
      <c r="F18" s="32">
        <f>IF(D18="FATTURA P.IVA",C18*SETUP!$C$4*SETUP!$C$5,0)</f>
        <v>0</v>
      </c>
      <c r="G18" s="32">
        <f>IF(AND(D18="FATTURA P.IVA",E18="SI"),C18*SETUP!$C$4*SETUP!$C$11,0)</f>
        <v>0</v>
      </c>
      <c r="H18" s="40" t="s">
        <v>132</v>
      </c>
      <c r="I18" s="27" t="s">
        <v>28</v>
      </c>
      <c r="J18" s="35">
        <f t="shared" si="1"/>
        <v>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107</v>
      </c>
      <c r="C19" s="39">
        <v>550.0</v>
      </c>
      <c r="D19" s="40" t="s">
        <v>22</v>
      </c>
      <c r="E19" s="40" t="s">
        <v>23</v>
      </c>
      <c r="F19" s="32">
        <f>IF(D19="FATTURA P.IVA",C19*SETUP!$C$4*SETUP!$C$5,0)</f>
        <v>21.45</v>
      </c>
      <c r="G19" s="32">
        <f>IF(AND(D19="FATTURA P.IVA",E19="SI"),C19*SETUP!$C$4*SETUP!$C$11,0)</f>
        <v>111.8403</v>
      </c>
      <c r="H19" s="40" t="s">
        <v>132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124</v>
      </c>
      <c r="C20" s="39">
        <v>550.0</v>
      </c>
      <c r="D20" s="40" t="s">
        <v>22</v>
      </c>
      <c r="E20" s="40" t="s">
        <v>23</v>
      </c>
      <c r="F20" s="32">
        <f>IF(D20="FATTURA P.IVA",C20*SETUP!$C$4*SETUP!$C$5,0)</f>
        <v>21.45</v>
      </c>
      <c r="G20" s="32">
        <f>IF(AND(D20="FATTURA P.IVA",E20="SI"),C20*SETUP!$C$4*SETUP!$C$11,0)</f>
        <v>111.8403</v>
      </c>
      <c r="H20" s="86" t="s">
        <v>132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108</v>
      </c>
      <c r="C21" s="39">
        <v>500.0</v>
      </c>
      <c r="D21" s="40" t="s">
        <v>22</v>
      </c>
      <c r="E21" s="40" t="s">
        <v>23</v>
      </c>
      <c r="F21" s="32">
        <f>IF(D21="FATTURA P.IVA",C21*SETUP!$C$4*SETUP!$C$5,0)</f>
        <v>19.5</v>
      </c>
      <c r="G21" s="32">
        <f>IF(AND(D21="FATTURA P.IVA",E21="SI"),C21*SETUP!$C$4*SETUP!$C$11,0)</f>
        <v>101.673</v>
      </c>
      <c r="H21" s="40" t="s">
        <v>132</v>
      </c>
      <c r="I21" s="27" t="s">
        <v>34</v>
      </c>
      <c r="J21" s="37">
        <f>F29</f>
        <v>9.75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 t="s">
        <v>130</v>
      </c>
      <c r="C22" s="39">
        <v>308.0</v>
      </c>
      <c r="D22" s="40" t="s">
        <v>17</v>
      </c>
      <c r="E22" s="40" t="s">
        <v>18</v>
      </c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 t="s">
        <v>132</v>
      </c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 t="s">
        <v>163</v>
      </c>
      <c r="C23" s="39">
        <v>450.0</v>
      </c>
      <c r="D23" s="40" t="s">
        <v>22</v>
      </c>
      <c r="E23" s="40" t="s">
        <v>18</v>
      </c>
      <c r="F23" s="32">
        <f>IF(D23="FATTURA P.IVA",C23*SETUP!$C$4*SETUP!$C$5,0)</f>
        <v>17.55</v>
      </c>
      <c r="G23" s="32">
        <f>IF(AND(D23="FATTURA P.IVA",E23="SI"),C23*SETUP!$C$4*SETUP!$C$11,0)</f>
        <v>0</v>
      </c>
      <c r="H23" s="40" t="s">
        <v>132</v>
      </c>
      <c r="I23" s="27" t="s">
        <v>36</v>
      </c>
      <c r="J23" s="37">
        <f>G29</f>
        <v>50.8365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 t="s">
        <v>109</v>
      </c>
      <c r="C24" s="39">
        <v>150.0</v>
      </c>
      <c r="D24" s="40" t="s">
        <v>17</v>
      </c>
      <c r="E24" s="40" t="s">
        <v>23</v>
      </c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 t="s">
        <v>132</v>
      </c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1"/>
      <c r="B25" s="38" t="s">
        <v>27</v>
      </c>
      <c r="C25" s="89">
        <v>250.0</v>
      </c>
      <c r="D25" s="90" t="s">
        <v>17</v>
      </c>
      <c r="E25" s="90" t="s">
        <v>23</v>
      </c>
      <c r="F25" s="91">
        <f>IF(D25="FATTURA P.IVA",C25*SETUP!$C$4*SETUP!$C$5,0)</f>
        <v>0</v>
      </c>
      <c r="G25" s="91">
        <f>IF(AND(D25="FATTURA P.IVA",E25="SI"),C25*SETUP!$C$4*SETUP!$C$11,0)</f>
        <v>0</v>
      </c>
      <c r="H25" s="90" t="s">
        <v>132</v>
      </c>
      <c r="I25" s="27" t="s">
        <v>38</v>
      </c>
      <c r="J25" s="44">
        <f>K93</f>
        <v>94.70675</v>
      </c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43"/>
      <c r="B26" s="87" t="s">
        <v>164</v>
      </c>
      <c r="C26" s="88">
        <v>5500.0</v>
      </c>
      <c r="D26" s="86" t="s">
        <v>17</v>
      </c>
      <c r="E26" s="86" t="s">
        <v>18</v>
      </c>
      <c r="F26" s="32">
        <f>IF(D26="FATTURA P.IVA",C26*SETUP!$C$4*SETUP!$C$5,0)</f>
        <v>0</v>
      </c>
      <c r="G26" s="32">
        <f>IF(AND(D26="FATTURA P.IVA",E26="SI"),C26*SETUP!$C$4*SETUP!$C$11,0)</f>
        <v>0</v>
      </c>
      <c r="H26" s="86" t="s">
        <v>19</v>
      </c>
      <c r="I26" s="27" t="s">
        <v>39</v>
      </c>
      <c r="J26" s="45">
        <f>D78</f>
        <v>367.41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639.6465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6145.65025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"/>
      <c r="B29" s="48" t="s">
        <v>42</v>
      </c>
      <c r="C29" s="49">
        <f>SUM(C15:C28)</f>
        <v>9358</v>
      </c>
      <c r="D29" s="50" t="s">
        <v>46</v>
      </c>
      <c r="E29" s="50" t="s">
        <v>47</v>
      </c>
      <c r="F29" s="51">
        <f>SUMPRODUCT((D15:D28="FATTURA P.IVA")*(H15:H28="INCASSATO")*C15:C28*SETUP!$C$4*SETUP!$C$5)</f>
        <v>9.75</v>
      </c>
      <c r="G29" s="51">
        <f>SUMPRODUCT((D15:D28="FATTURA P.IVA")*(H15:H28="INCASSATO")*(E15:E28="SI")*C15:C28*SETUP!$C$4*SETUP!$C$11)</f>
        <v>50.8365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 t="s">
        <v>50</v>
      </c>
      <c r="C33" s="57" t="s">
        <v>165</v>
      </c>
      <c r="D33" s="58">
        <v>7.0</v>
      </c>
      <c r="E33" s="59">
        <v>46149.0</v>
      </c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50</v>
      </c>
      <c r="C34" s="62" t="s">
        <v>166</v>
      </c>
      <c r="D34" s="39">
        <v>15.0</v>
      </c>
      <c r="E34" s="63"/>
      <c r="F34" s="64"/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50</v>
      </c>
      <c r="C35" s="62" t="s">
        <v>167</v>
      </c>
      <c r="D35" s="39">
        <v>21.5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50</v>
      </c>
      <c r="C36" s="62" t="s">
        <v>165</v>
      </c>
      <c r="D36" s="39">
        <v>7.0</v>
      </c>
      <c r="E36" s="63">
        <v>46149.0</v>
      </c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 t="s">
        <v>50</v>
      </c>
      <c r="C37" s="62" t="s">
        <v>169</v>
      </c>
      <c r="D37" s="39">
        <v>25.0</v>
      </c>
      <c r="E37" s="63"/>
      <c r="F37" s="64" t="s">
        <v>168</v>
      </c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 t="s">
        <v>64</v>
      </c>
      <c r="C38" s="62" t="s">
        <v>68</v>
      </c>
      <c r="D38" s="39">
        <v>4.5</v>
      </c>
      <c r="E38" s="63"/>
      <c r="F38" s="64" t="s">
        <v>168</v>
      </c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 t="s">
        <v>64</v>
      </c>
      <c r="C39" s="62" t="s">
        <v>69</v>
      </c>
      <c r="D39" s="39">
        <v>8.3</v>
      </c>
      <c r="E39" s="63">
        <v>46150.0</v>
      </c>
      <c r="F39" s="64" t="s">
        <v>168</v>
      </c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">
        <v>64</v>
      </c>
      <c r="C40" s="62" t="s">
        <v>70</v>
      </c>
      <c r="D40" s="39">
        <v>15.81</v>
      </c>
      <c r="E40" s="63"/>
      <c r="F40" s="64" t="s">
        <v>168</v>
      </c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">
        <v>50</v>
      </c>
      <c r="C41" s="62" t="s">
        <v>170</v>
      </c>
      <c r="D41" s="39">
        <v>15.0</v>
      </c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">
        <v>64</v>
      </c>
      <c r="C42" s="62" t="s">
        <v>171</v>
      </c>
      <c r="D42" s="39">
        <v>20.5</v>
      </c>
      <c r="E42" s="63">
        <v>46150.0</v>
      </c>
      <c r="F42" s="64" t="s">
        <v>168</v>
      </c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 t="s">
        <v>64</v>
      </c>
      <c r="C43" s="62" t="s">
        <v>172</v>
      </c>
      <c r="D43" s="39">
        <v>24.4</v>
      </c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 t="s">
        <v>64</v>
      </c>
      <c r="C44" s="62" t="s">
        <v>172</v>
      </c>
      <c r="D44" s="39">
        <v>21.96</v>
      </c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 t="s">
        <v>50</v>
      </c>
      <c r="C45" s="62" t="s">
        <v>173</v>
      </c>
      <c r="D45" s="39">
        <v>8.0</v>
      </c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 t="s">
        <v>50</v>
      </c>
      <c r="C46" s="62" t="s">
        <v>174</v>
      </c>
      <c r="D46" s="39">
        <v>9.0</v>
      </c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 t="s">
        <v>50</v>
      </c>
      <c r="C47" s="62" t="s">
        <v>175</v>
      </c>
      <c r="D47" s="39">
        <v>7.0</v>
      </c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 t="s">
        <v>50</v>
      </c>
      <c r="C48" s="62" t="s">
        <v>173</v>
      </c>
      <c r="D48" s="92">
        <v>2.8</v>
      </c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 t="s">
        <v>50</v>
      </c>
      <c r="C49" s="62" t="s">
        <v>176</v>
      </c>
      <c r="D49" s="39">
        <v>5.0</v>
      </c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93" t="s">
        <v>50</v>
      </c>
      <c r="C50" s="93" t="s">
        <v>54</v>
      </c>
      <c r="D50" s="88">
        <v>10.0</v>
      </c>
      <c r="E50" s="86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93" t="s">
        <v>50</v>
      </c>
      <c r="C51" s="93" t="s">
        <v>177</v>
      </c>
      <c r="D51" s="88">
        <v>6.0</v>
      </c>
      <c r="E51" s="86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93" t="s">
        <v>55</v>
      </c>
      <c r="C52" s="93" t="s">
        <v>178</v>
      </c>
      <c r="D52" s="88">
        <v>151.25</v>
      </c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93" t="s">
        <v>179</v>
      </c>
      <c r="C53" s="93" t="s">
        <v>180</v>
      </c>
      <c r="D53" s="88">
        <v>30.0</v>
      </c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93" t="s">
        <v>179</v>
      </c>
      <c r="C54" s="93" t="s">
        <v>181</v>
      </c>
      <c r="D54" s="88">
        <v>55.0</v>
      </c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75" customHeight="1">
      <c r="A75" s="1"/>
      <c r="B75" s="52"/>
      <c r="C75" s="52"/>
      <c r="D75" s="66"/>
      <c r="E75" s="67"/>
      <c r="F75" s="52"/>
      <c r="G75" s="52"/>
      <c r="H75" s="52"/>
      <c r="I75" s="52"/>
      <c r="J75" s="52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75" customHeight="1">
      <c r="A78" s="1"/>
      <c r="B78" s="68" t="s">
        <v>72</v>
      </c>
      <c r="C78" s="69"/>
      <c r="D78" s="70">
        <f>SUMPRODUCT((F33:F77&lt;&gt;"NO")*(F33:F77&lt;&gt;"PROGRAMMATA")*D33:D77)</f>
        <v>367.41</v>
      </c>
      <c r="E78" s="50" t="s">
        <v>47</v>
      </c>
      <c r="F78" s="50" t="s">
        <v>49</v>
      </c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94" t="s">
        <v>77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95" t="s">
        <v>73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95" t="s">
        <v>73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95" t="s">
        <v>73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24" t="s">
        <v>81</v>
      </c>
      <c r="C85" s="96">
        <f>G29</f>
        <v>50.8365</v>
      </c>
      <c r="D85" s="97">
        <v>0.0</v>
      </c>
      <c r="E85" s="63"/>
      <c r="F85" s="78"/>
      <c r="G85" s="69"/>
      <c r="H85" s="26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24" t="s">
        <v>82</v>
      </c>
      <c r="C86" s="97">
        <f>SETUP!$C$6</f>
        <v>384.31</v>
      </c>
      <c r="D86" s="97">
        <v>0.0</v>
      </c>
      <c r="E86" s="63"/>
      <c r="F86" s="78"/>
      <c r="G86" s="69"/>
      <c r="H86" s="95" t="s">
        <v>73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7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1"/>
      <c r="I91" s="1"/>
      <c r="J91" s="1"/>
      <c r="K91" s="1">
        <f>SUMIF(D15:D28,"ENTRATA PRIVATA (no tasse)",C15:C28)</f>
        <v>7058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639.6465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250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94.70675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394.06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367.41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639.6465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24.582601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2300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2300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>
        <f>SUMPRODUCT((D15:D25="FATTURA P.IVA")*((H15:H25="INCASSATO")+(H15:H25="FATTURATO"))*C15:C25)</f>
        <v>2300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102.61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2197.39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2050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1">
    <cfRule type="expression" dxfId="4" priority="6">
      <formula>$F$31="NO"</formula>
    </cfRule>
  </conditionalFormatting>
  <conditionalFormatting sqref="D32">
    <cfRule type="expression" dxfId="4" priority="7">
      <formula>$F$32="NO"</formula>
    </cfRule>
  </conditionalFormatting>
  <conditionalFormatting sqref="D33">
    <cfRule type="expression" dxfId="4" priority="8">
      <formula>$F$33="NO"</formula>
    </cfRule>
  </conditionalFormatting>
  <conditionalFormatting sqref="D34">
    <cfRule type="expression" dxfId="4" priority="9">
      <formula>$F$34="NO"</formula>
    </cfRule>
  </conditionalFormatting>
  <conditionalFormatting sqref="D35">
    <cfRule type="expression" dxfId="4" priority="10">
      <formula>$F$35="NO"</formula>
    </cfRule>
  </conditionalFormatting>
  <conditionalFormatting sqref="D36">
    <cfRule type="expression" dxfId="4" priority="11">
      <formula>$F$36="NO"</formula>
    </cfRule>
  </conditionalFormatting>
  <conditionalFormatting sqref="D37">
    <cfRule type="expression" dxfId="4" priority="12">
      <formula>$F$37="NO"</formula>
    </cfRule>
  </conditionalFormatting>
  <conditionalFormatting sqref="D38">
    <cfRule type="expression" dxfId="4" priority="13">
      <formula>$F$38="NO"</formula>
    </cfRule>
  </conditionalFormatting>
  <conditionalFormatting sqref="D39">
    <cfRule type="expression" dxfId="4" priority="14">
      <formula>$F$39="NO"</formula>
    </cfRule>
  </conditionalFormatting>
  <conditionalFormatting sqref="D40:D41">
    <cfRule type="expression" dxfId="4" priority="15">
      <formula>$F$40="NO"</formula>
    </cfRule>
  </conditionalFormatting>
  <conditionalFormatting sqref="D41">
    <cfRule type="expression" dxfId="4" priority="16">
      <formula>$F$41="NO"</formula>
    </cfRule>
  </conditionalFormatting>
  <conditionalFormatting sqref="D42">
    <cfRule type="expression" dxfId="4" priority="17">
      <formula>$F$42="NO"</formula>
    </cfRule>
  </conditionalFormatting>
  <conditionalFormatting sqref="D43">
    <cfRule type="expression" dxfId="4" priority="18">
      <formula>$F$43="NO"</formula>
    </cfRule>
  </conditionalFormatting>
  <conditionalFormatting sqref="D44">
    <cfRule type="expression" dxfId="4" priority="19">
      <formula>$F$44="NO"</formula>
    </cfRule>
  </conditionalFormatting>
  <conditionalFormatting sqref="D45">
    <cfRule type="expression" dxfId="4" priority="20">
      <formula>$F$45="NO"</formula>
    </cfRule>
  </conditionalFormatting>
  <conditionalFormatting sqref="D46">
    <cfRule type="expression" dxfId="4" priority="21">
      <formula>$F$46="NO"</formula>
    </cfRule>
  </conditionalFormatting>
  <conditionalFormatting sqref="D47">
    <cfRule type="expression" dxfId="4" priority="22">
      <formula>$F$47="NO"</formula>
    </cfRule>
  </conditionalFormatting>
  <conditionalFormatting sqref="D48">
    <cfRule type="expression" dxfId="4" priority="23">
      <formula>$F$48="NO"</formula>
    </cfRule>
  </conditionalFormatting>
  <conditionalFormatting sqref="D49">
    <cfRule type="expression" dxfId="4" priority="24">
      <formula>$F$49="NO"</formula>
    </cfRule>
  </conditionalFormatting>
  <conditionalFormatting sqref="D50">
    <cfRule type="expression" dxfId="4" priority="25">
      <formula>$F$50="NO"</formula>
    </cfRule>
  </conditionalFormatting>
  <conditionalFormatting sqref="D51">
    <cfRule type="expression" dxfId="4" priority="26">
      <formula>$F$51="NO"</formula>
    </cfRule>
  </conditionalFormatting>
  <conditionalFormatting sqref="D52">
    <cfRule type="expression" dxfId="4" priority="27">
      <formula>$F$52="NO"</formula>
    </cfRule>
  </conditionalFormatting>
  <conditionalFormatting sqref="D53">
    <cfRule type="expression" dxfId="4" priority="28">
      <formula>$F$53="NO"</formula>
    </cfRule>
  </conditionalFormatting>
  <conditionalFormatting sqref="D54">
    <cfRule type="expression" dxfId="4" priority="29">
      <formula>$F$54="NO"</formula>
    </cfRule>
  </conditionalFormatting>
  <conditionalFormatting sqref="D55">
    <cfRule type="expression" dxfId="4" priority="30">
      <formula>$F$55="NO"</formula>
    </cfRule>
  </conditionalFormatting>
  <conditionalFormatting sqref="D56">
    <cfRule type="expression" dxfId="4" priority="31">
      <formula>$F$56="NO"</formula>
    </cfRule>
  </conditionalFormatting>
  <conditionalFormatting sqref="D57">
    <cfRule type="expression" dxfId="4" priority="32">
      <formula>$F$57="NO"</formula>
    </cfRule>
  </conditionalFormatting>
  <conditionalFormatting sqref="D58">
    <cfRule type="expression" dxfId="4" priority="33">
      <formula>$F$58="NO"</formula>
    </cfRule>
  </conditionalFormatting>
  <conditionalFormatting sqref="D59">
    <cfRule type="expression" dxfId="4" priority="34">
      <formula>$F$59="NO"</formula>
    </cfRule>
  </conditionalFormatting>
  <conditionalFormatting sqref="D60">
    <cfRule type="expression" dxfId="4" priority="35">
      <formula>$F$60="NO"</formula>
    </cfRule>
  </conditionalFormatting>
  <conditionalFormatting sqref="D61">
    <cfRule type="expression" dxfId="4" priority="36">
      <formula>$F$61="NO"</formula>
    </cfRule>
  </conditionalFormatting>
  <conditionalFormatting sqref="D62">
    <cfRule type="expression" dxfId="4" priority="37">
      <formula>$F$62="NO"</formula>
    </cfRule>
  </conditionalFormatting>
  <conditionalFormatting sqref="D63">
    <cfRule type="expression" dxfId="4" priority="38">
      <formula>$F$63="NO"</formula>
    </cfRule>
  </conditionalFormatting>
  <conditionalFormatting sqref="D64">
    <cfRule type="expression" dxfId="4" priority="39">
      <formula>$F$64="NO"</formula>
    </cfRule>
  </conditionalFormatting>
  <conditionalFormatting sqref="D65">
    <cfRule type="expression" dxfId="4" priority="40">
      <formula>$F$65="NO"</formula>
    </cfRule>
  </conditionalFormatting>
  <conditionalFormatting sqref="D66">
    <cfRule type="expression" dxfId="4" priority="41">
      <formula>$F$66="NO"</formula>
    </cfRule>
  </conditionalFormatting>
  <conditionalFormatting sqref="D67">
    <cfRule type="expression" dxfId="4" priority="42">
      <formula>$F$67="NO"</formula>
    </cfRule>
  </conditionalFormatting>
  <conditionalFormatting sqref="D68">
    <cfRule type="expression" dxfId="4" priority="43">
      <formula>$F$68="NO"</formula>
    </cfRule>
  </conditionalFormatting>
  <conditionalFormatting sqref="D69">
    <cfRule type="expression" dxfId="4" priority="44">
      <formula>$F$69="NO"</formula>
    </cfRule>
  </conditionalFormatting>
  <conditionalFormatting sqref="D70">
    <cfRule type="expression" dxfId="4" priority="45">
      <formula>$F$70="NO"</formula>
    </cfRule>
  </conditionalFormatting>
  <conditionalFormatting sqref="D71">
    <cfRule type="expression" dxfId="4" priority="46">
      <formula>$F$71="NO"</formula>
    </cfRule>
  </conditionalFormatting>
  <conditionalFormatting sqref="D72">
    <cfRule type="expression" dxfId="4" priority="47">
      <formula>$F$72="NO"</formula>
    </cfRule>
  </conditionalFormatting>
  <conditionalFormatting sqref="D73">
    <cfRule type="expression" dxfId="4" priority="48">
      <formula>$F$73="NO"</formula>
    </cfRule>
  </conditionalFormatting>
  <conditionalFormatting sqref="D74">
    <cfRule type="expression" dxfId="4" priority="49">
      <formula>$F$74="NO"</formula>
    </cfRule>
  </conditionalFormatting>
  <conditionalFormatting sqref="D75">
    <cfRule type="expression" dxfId="4" priority="50">
      <formula>$F$75="NO"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183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16</v>
      </c>
      <c r="C15" s="39">
        <v>400.0</v>
      </c>
      <c r="D15" s="40" t="s">
        <v>17</v>
      </c>
      <c r="E15" s="40"/>
      <c r="F15" s="32">
        <f>IF(D15="FATTURA P.IVA",C15*SETUP!$C$4*SETUP!$C$5,0)</f>
        <v>0</v>
      </c>
      <c r="G15" s="32">
        <f>IF(AND(D15="FATTURA P.IVA",E15="SI"),C15*SETUP!$C$4*SETUP!$C$11,0)</f>
        <v>0</v>
      </c>
      <c r="H15" s="86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86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86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107</v>
      </c>
      <c r="C18" s="39">
        <v>550.0</v>
      </c>
      <c r="D18" s="40" t="s">
        <v>22</v>
      </c>
      <c r="E18" s="40" t="s">
        <v>23</v>
      </c>
      <c r="F18" s="32">
        <f>IF(D18="FATTURA P.IVA",C18*SETUP!$C$4*SETUP!$C$5,0)</f>
        <v>21.45</v>
      </c>
      <c r="G18" s="32">
        <f>IF(AND(D18="FATTURA P.IVA",E18="SI"),C18*SETUP!$C$4*SETUP!$C$11,0)</f>
        <v>111.8403</v>
      </c>
      <c r="H18" s="86" t="s">
        <v>184</v>
      </c>
      <c r="I18" s="27" t="s">
        <v>28</v>
      </c>
      <c r="J18" s="35">
        <f t="shared" si="1"/>
        <v>3450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124</v>
      </c>
      <c r="C19" s="39">
        <v>550.0</v>
      </c>
      <c r="D19" s="40" t="s">
        <v>22</v>
      </c>
      <c r="E19" s="40" t="s">
        <v>23</v>
      </c>
      <c r="F19" s="32">
        <f>IF(D19="FATTURA P.IVA",C19*SETUP!$C$4*SETUP!$C$5,0)</f>
        <v>21.45</v>
      </c>
      <c r="G19" s="32">
        <f>IF(AND(D19="FATTURA P.IVA",E19="SI"),C19*SETUP!$C$4*SETUP!$C$11,0)</f>
        <v>111.8403</v>
      </c>
      <c r="H19" s="86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108</v>
      </c>
      <c r="C20" s="39">
        <v>500.0</v>
      </c>
      <c r="D20" s="40" t="s">
        <v>22</v>
      </c>
      <c r="E20" s="40" t="s">
        <v>23</v>
      </c>
      <c r="F20" s="32">
        <f>IF(D20="FATTURA P.IVA",C20*SETUP!$C$4*SETUP!$C$5,0)</f>
        <v>19.5</v>
      </c>
      <c r="G20" s="32">
        <f>IF(AND(D20="FATTURA P.IVA",E20="SI"),C20*SETUP!$C$4*SETUP!$C$11,0)</f>
        <v>101.673</v>
      </c>
      <c r="H20" s="86" t="s">
        <v>184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130</v>
      </c>
      <c r="C21" s="39">
        <v>308.0</v>
      </c>
      <c r="D21" s="40" t="s">
        <v>17</v>
      </c>
      <c r="E21" s="40" t="s">
        <v>18</v>
      </c>
      <c r="F21" s="32">
        <f>IF(D21="FATTURA P.IVA",C21*SETUP!$C$4*SETUP!$C$5,0)</f>
        <v>0</v>
      </c>
      <c r="G21" s="32">
        <f>IF(AND(D21="FATTURA P.IVA",E21="SI"),C21*SETUP!$C$4*SETUP!$C$11,0)</f>
        <v>0</v>
      </c>
      <c r="H21" s="86" t="s">
        <v>184</v>
      </c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87" t="s">
        <v>16</v>
      </c>
      <c r="C22" s="88">
        <v>650.0</v>
      </c>
      <c r="D22" s="86" t="s">
        <v>22</v>
      </c>
      <c r="E22" s="86" t="s">
        <v>18</v>
      </c>
      <c r="F22" s="32">
        <f>IF(D22="FATTURA P.IVA",C22*SETUP!$C$4*SETUP!$C$5,0)</f>
        <v>25.35</v>
      </c>
      <c r="G22" s="32">
        <f>IF(AND(D22="FATTURA P.IVA",E22="SI"),C22*SETUP!$C$4*SETUP!$C$11,0)</f>
        <v>0</v>
      </c>
      <c r="H22" s="86" t="s">
        <v>184</v>
      </c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87" t="s">
        <v>185</v>
      </c>
      <c r="C23" s="88">
        <v>950.0</v>
      </c>
      <c r="D23" s="86" t="s">
        <v>22</v>
      </c>
      <c r="E23" s="86" t="s">
        <v>23</v>
      </c>
      <c r="F23" s="32">
        <f>IF(D23="FATTURA P.IVA",C23*SETUP!$C$4*SETUP!$C$5,0)</f>
        <v>37.05</v>
      </c>
      <c r="G23" s="32">
        <f>IF(AND(D23="FATTURA P.IVA",E23="SI"),C23*SETUP!$C$4*SETUP!$C$11,0)</f>
        <v>193.1787</v>
      </c>
      <c r="H23" s="86" t="s">
        <v>184</v>
      </c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4358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7.81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3450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20.61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3429.39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3450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186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2500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124</v>
      </c>
      <c r="C20" s="39">
        <v>550.0</v>
      </c>
      <c r="D20" s="40" t="s">
        <v>22</v>
      </c>
      <c r="E20" s="40" t="s">
        <v>23</v>
      </c>
      <c r="F20" s="32">
        <f>IF(D20="FATTURA P.IVA",C20*SETUP!$C$4*SETUP!$C$5,0)</f>
        <v>21.45</v>
      </c>
      <c r="G20" s="32">
        <f>IF(AND(D20="FATTURA P.IVA",E20="SI"),C20*SETUP!$C$4*SETUP!$C$11,0)</f>
        <v>111.8403</v>
      </c>
      <c r="H20" s="40" t="s">
        <v>184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107</v>
      </c>
      <c r="C21" s="39">
        <v>550.0</v>
      </c>
      <c r="D21" s="40" t="s">
        <v>22</v>
      </c>
      <c r="E21" s="40" t="s">
        <v>23</v>
      </c>
      <c r="F21" s="32">
        <f>IF(D21="FATTURA P.IVA",C21*SETUP!$C$4*SETUP!$C$5,0)</f>
        <v>21.45</v>
      </c>
      <c r="G21" s="32">
        <f>IF(AND(D21="FATTURA P.IVA",E21="SI"),C21*SETUP!$C$4*SETUP!$C$11,0)</f>
        <v>111.8403</v>
      </c>
      <c r="H21" s="40" t="s">
        <v>184</v>
      </c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87" t="s">
        <v>16</v>
      </c>
      <c r="C22" s="88">
        <v>650.0</v>
      </c>
      <c r="D22" s="86" t="s">
        <v>22</v>
      </c>
      <c r="E22" s="86" t="s">
        <v>18</v>
      </c>
      <c r="F22" s="32">
        <f>IF(D22="FATTURA P.IVA",C22*SETUP!$C$4*SETUP!$C$5,0)</f>
        <v>25.35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98">
        <f>SUM(C15:C28)</f>
        <v>3408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2500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2471.39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2500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188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2500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 t="s">
        <v>124</v>
      </c>
      <c r="C20" s="39">
        <v>550.0</v>
      </c>
      <c r="D20" s="40" t="s">
        <v>22</v>
      </c>
      <c r="E20" s="40" t="s">
        <v>23</v>
      </c>
      <c r="F20" s="32">
        <f>IF(D20="FATTURA P.IVA",C20*SETUP!$C$4*SETUP!$C$5,0)</f>
        <v>21.45</v>
      </c>
      <c r="G20" s="32">
        <f>IF(AND(D20="FATTURA P.IVA",E20="SI"),C20*SETUP!$C$4*SETUP!$C$11,0)</f>
        <v>111.8403</v>
      </c>
      <c r="H20" s="40" t="s">
        <v>184</v>
      </c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107</v>
      </c>
      <c r="C21" s="39">
        <v>550.0</v>
      </c>
      <c r="D21" s="40" t="s">
        <v>22</v>
      </c>
      <c r="E21" s="40" t="s">
        <v>23</v>
      </c>
      <c r="F21" s="32">
        <f>IF(D21="FATTURA P.IVA",C21*SETUP!$C$4*SETUP!$C$5,0)</f>
        <v>21.45</v>
      </c>
      <c r="G21" s="32">
        <f>IF(AND(D21="FATTURA P.IVA",E21="SI"),C21*SETUP!$C$4*SETUP!$C$11,0)</f>
        <v>111.8403</v>
      </c>
      <c r="H21" s="40" t="s">
        <v>184</v>
      </c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87" t="s">
        <v>16</v>
      </c>
      <c r="C22" s="88">
        <v>650.0</v>
      </c>
      <c r="D22" s="86" t="s">
        <v>22</v>
      </c>
      <c r="E22" s="86" t="s">
        <v>18</v>
      </c>
      <c r="F22" s="32">
        <f>IF(D22="FATTURA P.IVA",C22*SETUP!$C$4*SETUP!$C$5,0)</f>
        <v>25.35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3408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2500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2471.39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2500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189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1850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87" t="s">
        <v>16</v>
      </c>
      <c r="C20" s="88">
        <v>550.0</v>
      </c>
      <c r="D20" s="86" t="s">
        <v>22</v>
      </c>
      <c r="E20" s="86" t="s">
        <v>18</v>
      </c>
      <c r="F20" s="32">
        <f>IF(D20="FATTURA P.IVA",C20*SETUP!$C$4*SETUP!$C$5,0)</f>
        <v>21.45</v>
      </c>
      <c r="G20" s="32">
        <f>IF(AND(D20="FATTURA P.IVA",E20="SI"),C20*SETUP!$C$4*SETUP!$C$11,0)</f>
        <v>0</v>
      </c>
      <c r="H20" s="40"/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 t="s">
        <v>124</v>
      </c>
      <c r="C21" s="39">
        <v>550.0</v>
      </c>
      <c r="D21" s="40" t="s">
        <v>22</v>
      </c>
      <c r="E21" s="40" t="s">
        <v>23</v>
      </c>
      <c r="F21" s="32">
        <f>IF(D21="FATTURA P.IVA",C21*SETUP!$C$4*SETUP!$C$5,0)</f>
        <v>21.45</v>
      </c>
      <c r="G21" s="32">
        <f>IF(AND(D21="FATTURA P.IVA",E21="SI"),C21*SETUP!$C$4*SETUP!$C$11,0)</f>
        <v>111.8403</v>
      </c>
      <c r="H21" s="40" t="s">
        <v>184</v>
      </c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2758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1850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1821.39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1850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190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750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/>
      <c r="C20" s="39"/>
      <c r="D20" s="40"/>
      <c r="E20" s="40"/>
      <c r="F20" s="32">
        <f>IF(D20="FATTURA P.IVA",C20*SETUP!$C$4*SETUP!$C$5,0)</f>
        <v>0</v>
      </c>
      <c r="G20" s="32">
        <f>IF(AND(D20="FATTURA P.IVA",E20="SI"),C20*SETUP!$C$4*SETUP!$C$11,0)</f>
        <v>0</v>
      </c>
      <c r="H20" s="40"/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/>
      <c r="C21" s="39"/>
      <c r="D21" s="40"/>
      <c r="E21" s="40"/>
      <c r="F21" s="32">
        <f>IF(D21="FATTURA P.IVA",C21*SETUP!$C$4*SETUP!$C$5,0)</f>
        <v>0</v>
      </c>
      <c r="G21" s="32">
        <f>IF(AND(D21="FATTURA P.IVA",E21="SI"),C21*SETUP!$C$4*SETUP!$C$11,0)</f>
        <v>0</v>
      </c>
      <c r="H21" s="40"/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1658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750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721.39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750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191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750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/>
      <c r="C20" s="39"/>
      <c r="D20" s="40"/>
      <c r="E20" s="40"/>
      <c r="F20" s="32">
        <f>IF(D20="FATTURA P.IVA",C20*SETUP!$C$4*SETUP!$C$5,0)</f>
        <v>0</v>
      </c>
      <c r="G20" s="32">
        <f>IF(AND(D20="FATTURA P.IVA",E20="SI"),C20*SETUP!$C$4*SETUP!$C$11,0)</f>
        <v>0</v>
      </c>
      <c r="H20" s="40"/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/>
      <c r="C21" s="39"/>
      <c r="D21" s="40"/>
      <c r="E21" s="40"/>
      <c r="F21" s="32">
        <f>IF(D21="FATTURA P.IVA",C21*SETUP!$C$4*SETUP!$C$5,0)</f>
        <v>0</v>
      </c>
      <c r="G21" s="32">
        <f>IF(AND(D21="FATTURA P.IVA",E21="SI"),C21*SETUP!$C$4*SETUP!$C$11,0)</f>
        <v>0</v>
      </c>
      <c r="H21" s="40"/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49">
        <f>SUM(C15:C28)</f>
        <v>1658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750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721.39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750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9A0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6.0"/>
    <col customWidth="1" min="3" max="3" width="14.0"/>
    <col customWidth="1" min="4" max="4" width="18.0"/>
    <col customWidth="1" min="5" max="6" width="12.0"/>
    <col customWidth="1" min="7" max="7" width="18.0"/>
    <col customWidth="1" min="8" max="8" width="16.0"/>
    <col customWidth="1" min="9" max="9" width="24.0"/>
    <col customWidth="1" min="10" max="10" width="16.0"/>
    <col customWidth="1" min="11" max="11" width="2.0"/>
    <col customWidth="1" min="12" max="1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/>
      <c r="B2" s="3" t="s">
        <v>192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>K93+K91-K95-K96</f>
        <v>319.19</v>
      </c>
      <c r="C4" s="4"/>
      <c r="D4" s="4"/>
      <c r="E4" s="4"/>
      <c r="F4" s="4"/>
      <c r="G4" s="4"/>
      <c r="H4" s="4"/>
      <c r="I4" s="4"/>
      <c r="J4" s="4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>CONCATENATE("su €",TEXT(K92,"#,##0")," di fatturato P.IVA  •  €",TEXT(K94,"#,##0")," tra tasse e INPS già accantonati")</f>
        <v>su €0 di fatturato P.IVA  •  €384 tra tasse e INPS già accantonati</v>
      </c>
      <c r="C5" s="4"/>
      <c r="D5" s="4"/>
      <c r="E5" s="4"/>
      <c r="F5" s="4"/>
      <c r="G5" s="4"/>
      <c r="H5" s="4"/>
      <c r="I5" s="4"/>
      <c r="J5" s="4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2</v>
      </c>
      <c r="C7" s="5"/>
      <c r="D7" s="8" t="s">
        <v>3</v>
      </c>
      <c r="E7" s="5"/>
      <c r="F7" s="8" t="s">
        <v>4</v>
      </c>
      <c r="G7" s="5"/>
      <c r="H7" s="1"/>
      <c r="I7" s="9" t="s">
        <v>5</v>
      </c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">
        <f>K92</f>
        <v>0</v>
      </c>
      <c r="C8" s="5"/>
      <c r="D8" s="11">
        <f>K94</f>
        <v>384.31</v>
      </c>
      <c r="E8" s="5"/>
      <c r="F8" s="12" t="str">
        <f>IF(B4&lt;0,"🔴 IN ROSSO",IF(K97&gt;=0.2,"🟢 SANO",IF(K97&gt;=0.1,"🟡 ATTENZIONE","🟠 SAVING BASSO")))</f>
        <v>🟠 SAVING BASSO</v>
      </c>
      <c r="G8" s="5"/>
      <c r="H8" s="1"/>
      <c r="I8" s="13" t="str">
        <f>IF(B4&gt;=0,CONCATENATE("✅ €",TEXT(B4,"#,##0")," netti reali questo mese"),CONCATENATE("⚠ Sotto di €",TEXT(-B4,"#,##0")," questo mese"))</f>
        <v>✅ €319 netti reali questo mese</v>
      </c>
      <c r="J8" s="1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>CONCATENATE("+ €",TEXT(K91,"#,##0")," entrate private")</f>
        <v>+ €908 entrate private</v>
      </c>
      <c r="C9" s="5"/>
      <c r="D9" s="15" t="str">
        <f>CONCATENATE("Tasse €",TEXT(F25,"#,##0")," + INPS €",TEXT(SETUP!$C$6,"#,##0"))</f>
        <v>Tasse €0 + INPS €384</v>
      </c>
      <c r="E9" s="5"/>
      <c r="F9" s="15" t="str">
        <f>CONCATENATE("Saving rate ",TEXT(K97,"0.0%"))</f>
        <v>Saving rate 0,0%</v>
      </c>
      <c r="G9" s="5"/>
      <c r="H9" s="1"/>
      <c r="I9" s="16"/>
      <c r="J9" s="17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1"/>
      <c r="B11" s="18" t="str">
        <f>CONCATENATE("⚠ Soglia INPS lordo annua: €",TEXT(SETUP!$C$8,"#,##0"),"  •  Fatturato P.IVA mese: €",TEXT(K92,"#,##0"),"  •  Vedi DASHBOARD per il monitoraggio annuale")</f>
        <v>⚠ Soglia INPS lordo annua: €23.608  •  Fatturato P.IVA mese: €0  •  Vedi DASHBOARD per il monitoraggio annuale</v>
      </c>
      <c r="C11" s="4"/>
      <c r="D11" s="4"/>
      <c r="E11" s="4"/>
      <c r="F11" s="4"/>
      <c r="G11" s="4"/>
      <c r="H11" s="4"/>
      <c r="I11" s="4"/>
      <c r="J11" s="4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"/>
      <c r="B13" s="19" t="s">
        <v>6</v>
      </c>
      <c r="C13" s="20"/>
      <c r="D13" s="20"/>
      <c r="E13" s="20"/>
      <c r="F13" s="20"/>
      <c r="G13" s="21"/>
      <c r="H13" s="1"/>
      <c r="I13" s="22" t="s">
        <v>7</v>
      </c>
      <c r="J13" s="2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"/>
      <c r="B14" s="24" t="s">
        <v>8</v>
      </c>
      <c r="C14" s="25" t="s">
        <v>9</v>
      </c>
      <c r="D14" s="26" t="s">
        <v>10</v>
      </c>
      <c r="E14" s="26" t="s">
        <v>11</v>
      </c>
      <c r="F14" s="25" t="s">
        <v>12</v>
      </c>
      <c r="G14" s="25" t="s">
        <v>13</v>
      </c>
      <c r="H14" s="24" t="s">
        <v>14</v>
      </c>
      <c r="I14" s="27" t="s">
        <v>15</v>
      </c>
      <c r="J14" s="28">
        <f>K92</f>
        <v>0</v>
      </c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"/>
      <c r="B15" s="38" t="s">
        <v>187</v>
      </c>
      <c r="C15" s="39">
        <v>400.0</v>
      </c>
      <c r="D15" s="40" t="s">
        <v>17</v>
      </c>
      <c r="E15" s="40" t="s">
        <v>18</v>
      </c>
      <c r="F15" s="32">
        <f>IF(D15="FATTURA P.IVA",C15*SETUP!$C$4*SETUP!$C$5,0)</f>
        <v>0</v>
      </c>
      <c r="G15" s="32">
        <f>IF(AND(D15="FATTURA P.IVA",E15="SI"),C15*SETUP!$C$4*SETUP!$C$11,0)</f>
        <v>0</v>
      </c>
      <c r="H15" s="40" t="s">
        <v>184</v>
      </c>
      <c r="I15" s="27" t="s">
        <v>20</v>
      </c>
      <c r="J15" s="28">
        <f>K91</f>
        <v>908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"/>
      <c r="B16" s="38" t="s">
        <v>21</v>
      </c>
      <c r="C16" s="39">
        <v>250.0</v>
      </c>
      <c r="D16" s="40" t="s">
        <v>22</v>
      </c>
      <c r="E16" s="40" t="s">
        <v>23</v>
      </c>
      <c r="F16" s="32">
        <f>IF(D16="FATTURA P.IVA",C16*SETUP!$C$4*SETUP!$C$5,0)</f>
        <v>9.75</v>
      </c>
      <c r="G16" s="32">
        <f>IF(AND(D16="FATTURA P.IVA",E16="SI"),C16*SETUP!$C$4*SETUP!$C$11,0)</f>
        <v>50.8365</v>
      </c>
      <c r="H16" s="40" t="s">
        <v>184</v>
      </c>
      <c r="I16" s="33" t="s">
        <v>24</v>
      </c>
      <c r="J16" s="23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"/>
      <c r="B17" s="38" t="s">
        <v>21</v>
      </c>
      <c r="C17" s="39">
        <v>200.0</v>
      </c>
      <c r="D17" s="40" t="s">
        <v>17</v>
      </c>
      <c r="E17" s="40" t="s">
        <v>18</v>
      </c>
      <c r="F17" s="32">
        <f>IF(D17="FATTURA P.IVA",C17*SETUP!$C$4*SETUP!$C$5,0)</f>
        <v>0</v>
      </c>
      <c r="G17" s="32">
        <f>IF(AND(D17="FATTURA P.IVA",E17="SI"),C17*SETUP!$C$4*SETUP!$C$11,0)</f>
        <v>0</v>
      </c>
      <c r="H17" s="40" t="s">
        <v>184</v>
      </c>
      <c r="I17" s="27" t="s">
        <v>26</v>
      </c>
      <c r="J17" s="35">
        <f t="shared" ref="J17:J19" si="1">K106</f>
        <v>0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"/>
      <c r="B18" s="38" t="s">
        <v>108</v>
      </c>
      <c r="C18" s="39">
        <v>500.0</v>
      </c>
      <c r="D18" s="40" t="s">
        <v>22</v>
      </c>
      <c r="E18" s="40" t="s">
        <v>23</v>
      </c>
      <c r="F18" s="32">
        <f>IF(D18="FATTURA P.IVA",C18*SETUP!$C$4*SETUP!$C$5,0)</f>
        <v>19.5</v>
      </c>
      <c r="G18" s="32">
        <f>IF(AND(D18="FATTURA P.IVA",E18="SI"),C18*SETUP!$C$4*SETUP!$C$11,0)</f>
        <v>101.673</v>
      </c>
      <c r="H18" s="40" t="s">
        <v>184</v>
      </c>
      <c r="I18" s="27" t="s">
        <v>28</v>
      </c>
      <c r="J18" s="35">
        <f t="shared" si="1"/>
        <v>750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"/>
      <c r="B19" s="38" t="s">
        <v>130</v>
      </c>
      <c r="C19" s="39">
        <v>308.0</v>
      </c>
      <c r="D19" s="40" t="s">
        <v>17</v>
      </c>
      <c r="E19" s="40" t="s">
        <v>18</v>
      </c>
      <c r="F19" s="32">
        <f>IF(D19="FATTURA P.IVA",C19*SETUP!$C$4*SETUP!$C$5,0)</f>
        <v>0</v>
      </c>
      <c r="G19" s="32">
        <f>IF(AND(D19="FATTURA P.IVA",E19="SI"),C19*SETUP!$C$4*SETUP!$C$11,0)</f>
        <v>0</v>
      </c>
      <c r="H19" s="40" t="s">
        <v>184</v>
      </c>
      <c r="I19" s="27" t="s">
        <v>30</v>
      </c>
      <c r="J19" s="35">
        <f t="shared" si="1"/>
        <v>0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"/>
      <c r="B20" s="38"/>
      <c r="C20" s="39"/>
      <c r="D20" s="40"/>
      <c r="E20" s="40"/>
      <c r="F20" s="32">
        <f>IF(D20="FATTURA P.IVA",C20*SETUP!$C$4*SETUP!$C$5,0)</f>
        <v>0</v>
      </c>
      <c r="G20" s="32">
        <f>IF(AND(D20="FATTURA P.IVA",E20="SI"),C20*SETUP!$C$4*SETUP!$C$11,0)</f>
        <v>0</v>
      </c>
      <c r="H20" s="40"/>
      <c r="I20" s="36" t="s">
        <v>32</v>
      </c>
      <c r="J20" s="23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"/>
      <c r="B21" s="38"/>
      <c r="C21" s="39"/>
      <c r="D21" s="40"/>
      <c r="E21" s="40"/>
      <c r="F21" s="32">
        <f>IF(D21="FATTURA P.IVA",C21*SETUP!$C$4*SETUP!$C$5,0)</f>
        <v>0</v>
      </c>
      <c r="G21" s="32">
        <f>IF(AND(D21="FATTURA P.IVA",E21="SI"),C21*SETUP!$C$4*SETUP!$C$11,0)</f>
        <v>0</v>
      </c>
      <c r="H21" s="40"/>
      <c r="I21" s="27" t="s">
        <v>34</v>
      </c>
      <c r="J21" s="37">
        <f>F29</f>
        <v>0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1"/>
      <c r="B22" s="38"/>
      <c r="C22" s="39"/>
      <c r="D22" s="40"/>
      <c r="E22" s="40"/>
      <c r="F22" s="32">
        <f>IF(D22="FATTURA P.IVA",C22*SETUP!$C$4*SETUP!$C$5,0)</f>
        <v>0</v>
      </c>
      <c r="G22" s="32">
        <f>IF(AND(D22="FATTURA P.IVA",E22="SI"),C22*SETUP!$C$4*SETUP!$C$11,0)</f>
        <v>0</v>
      </c>
      <c r="H22" s="40"/>
      <c r="I22" s="27" t="s">
        <v>35</v>
      </c>
      <c r="J22" s="37">
        <f>SETUP!$C$6</f>
        <v>384.31</v>
      </c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"/>
      <c r="B23" s="38"/>
      <c r="C23" s="39"/>
      <c r="D23" s="40"/>
      <c r="E23" s="40"/>
      <c r="F23" s="32">
        <f>IF(D23="FATTURA P.IVA",C23*SETUP!$C$4*SETUP!$C$5,0)</f>
        <v>0</v>
      </c>
      <c r="G23" s="32">
        <f>IF(AND(D23="FATTURA P.IVA",E23="SI"),C23*SETUP!$C$4*SETUP!$C$11,0)</f>
        <v>0</v>
      </c>
      <c r="H23" s="40"/>
      <c r="I23" s="27" t="s">
        <v>36</v>
      </c>
      <c r="J23" s="37">
        <f>G29</f>
        <v>0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"/>
      <c r="B24" s="38"/>
      <c r="C24" s="39"/>
      <c r="D24" s="40"/>
      <c r="E24" s="40"/>
      <c r="F24" s="32">
        <f>IF(D24="FATTURA P.IVA",C24*SETUP!$C$4*SETUP!$C$5,0)</f>
        <v>0</v>
      </c>
      <c r="G24" s="32">
        <f>IF(AND(D24="FATTURA P.IVA",E24="SI"),C24*SETUP!$C$4*SETUP!$C$11,0)</f>
        <v>0</v>
      </c>
      <c r="H24" s="40"/>
      <c r="I24" s="41" t="s">
        <v>37</v>
      </c>
      <c r="J24" s="42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43"/>
      <c r="B25" s="38"/>
      <c r="C25" s="39"/>
      <c r="D25" s="40"/>
      <c r="E25" s="40"/>
      <c r="F25" s="32">
        <f>IF(D25="FATTURA P.IVA",C25*SETUP!$C$4*SETUP!$C$5,0)</f>
        <v>0</v>
      </c>
      <c r="G25" s="32">
        <f>IF(AND(D25="FATTURA P.IVA",E25="SI"),C25*SETUP!$C$4*SETUP!$C$11,0)</f>
        <v>0</v>
      </c>
      <c r="H25" s="40"/>
      <c r="I25" s="27" t="s">
        <v>38</v>
      </c>
      <c r="J25" s="44">
        <f>K93</f>
        <v>0</v>
      </c>
      <c r="K25" s="43"/>
      <c r="L25" s="43"/>
      <c r="M25" s="43"/>
      <c r="N25" s="43"/>
      <c r="O25" s="43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38"/>
      <c r="C26" s="39"/>
      <c r="D26" s="40"/>
      <c r="E26" s="40"/>
      <c r="F26" s="32">
        <f>IF(D26="FATTURA P.IVA",C26*SETUP!$C$4*SETUP!$C$5,0)</f>
        <v>0</v>
      </c>
      <c r="G26" s="32">
        <f>IF(AND(D26="FATTURA P.IVA",E26="SI"),C26*SETUP!$C$4*SETUP!$C$11,0)</f>
        <v>0</v>
      </c>
      <c r="H26" s="40"/>
      <c r="I26" s="27" t="s">
        <v>39</v>
      </c>
      <c r="J26" s="45">
        <f>D78</f>
        <v>0</v>
      </c>
      <c r="K26" s="43"/>
      <c r="L26" s="43"/>
      <c r="M26" s="43"/>
      <c r="N26" s="43"/>
      <c r="O26" s="43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3"/>
      <c r="B27" s="38"/>
      <c r="C27" s="39"/>
      <c r="D27" s="40"/>
      <c r="E27" s="40"/>
      <c r="F27" s="32">
        <f>IF(D27="FATTURA P.IVA",C27*SETUP!$C$4*SETUP!$C$5,0)</f>
        <v>0</v>
      </c>
      <c r="G27" s="32">
        <f>IF(AND(D27="FATTURA P.IVA",E27="SI"),C27*SETUP!$C$4*SETUP!$C$11,0)</f>
        <v>0</v>
      </c>
      <c r="H27" s="40"/>
      <c r="I27" s="27" t="s">
        <v>40</v>
      </c>
      <c r="J27" s="44">
        <f>C92</f>
        <v>588.81</v>
      </c>
      <c r="K27" s="43"/>
      <c r="L27" s="43"/>
      <c r="M27" s="43"/>
      <c r="N27" s="43"/>
      <c r="O27" s="43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38"/>
      <c r="C28" s="39"/>
      <c r="D28" s="40"/>
      <c r="E28" s="40"/>
      <c r="F28" s="32">
        <f>IF(D28="FATTURA P.IVA",C28*SETUP!$C$4*SETUP!$C$5,0)</f>
        <v>0</v>
      </c>
      <c r="G28" s="32">
        <f>IF(AND(D28="FATTURA P.IVA",E28="SI"),C28*SETUP!$C$4*SETUP!$C$11,0)</f>
        <v>0</v>
      </c>
      <c r="H28" s="40"/>
      <c r="I28" s="46" t="s">
        <v>41</v>
      </c>
      <c r="J28" s="47">
        <f>B4</f>
        <v>319.19</v>
      </c>
      <c r="K28" s="43"/>
      <c r="L28" s="43"/>
      <c r="M28" s="43"/>
      <c r="N28" s="43"/>
      <c r="O28" s="43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1"/>
      <c r="B29" s="48" t="s">
        <v>42</v>
      </c>
      <c r="C29" s="99">
        <f>SUM(C15:C28)</f>
        <v>1658</v>
      </c>
      <c r="D29" s="50"/>
      <c r="E29" s="50"/>
      <c r="F29" s="51">
        <f>SUMPRODUCT((D15:D28="FATTURA P.IVA")*(H15:H28="INCASSATO")*C15:C28*SETUP!$C$4*SETUP!$C$5)</f>
        <v>0</v>
      </c>
      <c r="G29" s="51">
        <f>SUMPRODUCT((D15:D28="FATTURA P.IVA")*(H15:H28="INCASSATO")*(E15:E28="SI")*C15:C28*SETUP!$C$4*SETUP!$C$11)</f>
        <v>0</v>
      </c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"/>
      <c r="B31" s="53" t="s">
        <v>43</v>
      </c>
      <c r="C31" s="54"/>
      <c r="D31" s="54"/>
      <c r="E31" s="54"/>
      <c r="F31" s="54"/>
      <c r="G31" s="55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1"/>
      <c r="B32" s="24" t="s">
        <v>44</v>
      </c>
      <c r="C32" s="24" t="s">
        <v>45</v>
      </c>
      <c r="D32" s="25" t="s">
        <v>46</v>
      </c>
      <c r="E32" s="26" t="s">
        <v>47</v>
      </c>
      <c r="F32" s="26" t="s">
        <v>48</v>
      </c>
      <c r="G32" s="24" t="s">
        <v>49</v>
      </c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1"/>
      <c r="B33" s="56"/>
      <c r="C33" s="57"/>
      <c r="D33" s="58"/>
      <c r="E33" s="59"/>
      <c r="F33" s="60"/>
      <c r="G33" s="6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1"/>
      <c r="B34" s="62" t="s">
        <v>64</v>
      </c>
      <c r="C34" s="62" t="s">
        <v>68</v>
      </c>
      <c r="D34" s="39">
        <v>4.5</v>
      </c>
      <c r="E34" s="63"/>
      <c r="F34" s="64" t="s">
        <v>168</v>
      </c>
      <c r="G34" s="65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"/>
      <c r="B35" s="62" t="s">
        <v>64</v>
      </c>
      <c r="C35" s="62" t="s">
        <v>69</v>
      </c>
      <c r="D35" s="39">
        <v>8.3</v>
      </c>
      <c r="E35" s="63"/>
      <c r="F35" s="64" t="s">
        <v>168</v>
      </c>
      <c r="G35" s="65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1"/>
      <c r="B36" s="62" t="s">
        <v>64</v>
      </c>
      <c r="C36" s="62" t="s">
        <v>70</v>
      </c>
      <c r="D36" s="39">
        <v>15.81</v>
      </c>
      <c r="E36" s="63"/>
      <c r="F36" s="64" t="s">
        <v>168</v>
      </c>
      <c r="G36" s="65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1"/>
      <c r="B37" s="62"/>
      <c r="C37" s="62"/>
      <c r="D37" s="39"/>
      <c r="E37" s="63"/>
      <c r="F37" s="64"/>
      <c r="G37" s="65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62"/>
      <c r="C38" s="62"/>
      <c r="D38" s="39"/>
      <c r="E38" s="63"/>
      <c r="F38" s="64"/>
      <c r="G38" s="65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62"/>
      <c r="C39" s="62"/>
      <c r="D39" s="39"/>
      <c r="E39" s="63"/>
      <c r="F39" s="64"/>
      <c r="G39" s="65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/>
      <c r="C40" s="62"/>
      <c r="D40" s="39"/>
      <c r="E40" s="63"/>
      <c r="F40" s="64"/>
      <c r="G40" s="65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/>
      <c r="C41" s="62"/>
      <c r="D41" s="39"/>
      <c r="E41" s="63"/>
      <c r="F41" s="64"/>
      <c r="G41" s="65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/>
      <c r="C42" s="62"/>
      <c r="D42" s="39"/>
      <c r="E42" s="63"/>
      <c r="F42" s="64"/>
      <c r="G42" s="65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75" customHeight="1">
      <c r="A43" s="1"/>
      <c r="B43" s="62"/>
      <c r="C43" s="62"/>
      <c r="D43" s="39"/>
      <c r="E43" s="63"/>
      <c r="F43" s="64"/>
      <c r="G43" s="65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75" customHeight="1">
      <c r="A44" s="1"/>
      <c r="B44" s="62"/>
      <c r="C44" s="62"/>
      <c r="D44" s="39"/>
      <c r="E44" s="63"/>
      <c r="F44" s="64"/>
      <c r="G44" s="65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62"/>
      <c r="C45" s="62"/>
      <c r="D45" s="39"/>
      <c r="E45" s="63"/>
      <c r="F45" s="64"/>
      <c r="G45" s="65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75" customHeight="1">
      <c r="A46" s="1"/>
      <c r="B46" s="62"/>
      <c r="C46" s="62"/>
      <c r="D46" s="39"/>
      <c r="E46" s="63"/>
      <c r="F46" s="64"/>
      <c r="G46" s="65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75" customHeight="1">
      <c r="A47" s="1"/>
      <c r="B47" s="62"/>
      <c r="C47" s="62"/>
      <c r="D47" s="39"/>
      <c r="E47" s="63"/>
      <c r="F47" s="64"/>
      <c r="G47" s="65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75" customHeight="1">
      <c r="A48" s="1"/>
      <c r="B48" s="62"/>
      <c r="C48" s="62"/>
      <c r="D48" s="39"/>
      <c r="E48" s="63"/>
      <c r="F48" s="64"/>
      <c r="G48" s="65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75" customHeight="1">
      <c r="A49" s="1"/>
      <c r="B49" s="62"/>
      <c r="C49" s="62"/>
      <c r="D49" s="39"/>
      <c r="E49" s="63"/>
      <c r="F49" s="64"/>
      <c r="G49" s="65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75" customHeight="1">
      <c r="A50" s="1"/>
      <c r="B50" s="62"/>
      <c r="C50" s="62"/>
      <c r="D50" s="39"/>
      <c r="E50" s="63"/>
      <c r="F50" s="64"/>
      <c r="G50" s="65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75" customHeight="1">
      <c r="A51" s="1"/>
      <c r="B51" s="62"/>
      <c r="C51" s="62"/>
      <c r="D51" s="39"/>
      <c r="E51" s="63"/>
      <c r="F51" s="64"/>
      <c r="G51" s="65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75" customHeight="1">
      <c r="A52" s="1"/>
      <c r="B52" s="62"/>
      <c r="C52" s="62"/>
      <c r="D52" s="39"/>
      <c r="E52" s="63"/>
      <c r="F52" s="64"/>
      <c r="G52" s="65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75" customHeight="1">
      <c r="A53" s="1"/>
      <c r="B53" s="62"/>
      <c r="C53" s="62"/>
      <c r="D53" s="39"/>
      <c r="E53" s="63"/>
      <c r="F53" s="64"/>
      <c r="G53" s="65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75" customHeight="1">
      <c r="A54" s="1"/>
      <c r="B54" s="62"/>
      <c r="C54" s="62"/>
      <c r="D54" s="39"/>
      <c r="E54" s="63"/>
      <c r="F54" s="64"/>
      <c r="G54" s="65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62"/>
      <c r="C55" s="62"/>
      <c r="D55" s="39"/>
      <c r="E55" s="63"/>
      <c r="F55" s="64"/>
      <c r="G55" s="65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62"/>
      <c r="C56" s="62"/>
      <c r="D56" s="39"/>
      <c r="E56" s="63"/>
      <c r="F56" s="64"/>
      <c r="G56" s="65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62"/>
      <c r="C57" s="62"/>
      <c r="D57" s="39"/>
      <c r="E57" s="63"/>
      <c r="F57" s="64"/>
      <c r="G57" s="65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62"/>
      <c r="C58" s="62"/>
      <c r="D58" s="39"/>
      <c r="E58" s="63"/>
      <c r="F58" s="64"/>
      <c r="G58" s="65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62"/>
      <c r="C59" s="62"/>
      <c r="D59" s="39"/>
      <c r="E59" s="63"/>
      <c r="F59" s="64"/>
      <c r="G59" s="65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62"/>
      <c r="C60" s="62"/>
      <c r="D60" s="39"/>
      <c r="E60" s="63"/>
      <c r="F60" s="64"/>
      <c r="G60" s="65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62"/>
      <c r="C61" s="62"/>
      <c r="D61" s="39"/>
      <c r="E61" s="63"/>
      <c r="F61" s="64"/>
      <c r="G61" s="65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62"/>
      <c r="C62" s="62"/>
      <c r="D62" s="39"/>
      <c r="E62" s="63"/>
      <c r="F62" s="64"/>
      <c r="G62" s="65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62"/>
      <c r="C63" s="62"/>
      <c r="D63" s="39"/>
      <c r="E63" s="63"/>
      <c r="F63" s="64"/>
      <c r="G63" s="65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62"/>
      <c r="C64" s="62"/>
      <c r="D64" s="39"/>
      <c r="E64" s="63"/>
      <c r="F64" s="64"/>
      <c r="G64" s="65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75" customHeight="1">
      <c r="A65" s="1"/>
      <c r="B65" s="62"/>
      <c r="C65" s="62"/>
      <c r="D65" s="39"/>
      <c r="E65" s="63"/>
      <c r="F65" s="64"/>
      <c r="G65" s="65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75" customHeight="1">
      <c r="A66" s="1"/>
      <c r="B66" s="62"/>
      <c r="C66" s="62"/>
      <c r="D66" s="39"/>
      <c r="E66" s="63"/>
      <c r="F66" s="64"/>
      <c r="G66" s="65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75" customHeight="1">
      <c r="A67" s="1"/>
      <c r="B67" s="62"/>
      <c r="C67" s="62"/>
      <c r="D67" s="39"/>
      <c r="E67" s="63"/>
      <c r="F67" s="64"/>
      <c r="G67" s="65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75" customHeight="1">
      <c r="A68" s="1"/>
      <c r="B68" s="62"/>
      <c r="C68" s="62"/>
      <c r="D68" s="39"/>
      <c r="E68" s="63"/>
      <c r="F68" s="64"/>
      <c r="G68" s="65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75" customHeight="1">
      <c r="A69" s="1"/>
      <c r="B69" s="62"/>
      <c r="C69" s="62"/>
      <c r="D69" s="39"/>
      <c r="E69" s="63"/>
      <c r="F69" s="64"/>
      <c r="G69" s="65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75" customHeight="1">
      <c r="A70" s="1"/>
      <c r="B70" s="62"/>
      <c r="C70" s="62"/>
      <c r="D70" s="39"/>
      <c r="E70" s="63"/>
      <c r="F70" s="64"/>
      <c r="G70" s="65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1"/>
      <c r="B71" s="62"/>
      <c r="C71" s="62"/>
      <c r="D71" s="39"/>
      <c r="E71" s="63"/>
      <c r="F71" s="64"/>
      <c r="G71" s="65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75" customHeight="1">
      <c r="A72" s="1"/>
      <c r="B72" s="62"/>
      <c r="C72" s="62"/>
      <c r="D72" s="39"/>
      <c r="E72" s="63"/>
      <c r="F72" s="64"/>
      <c r="G72" s="65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75" customHeight="1">
      <c r="A73" s="1"/>
      <c r="B73" s="62"/>
      <c r="C73" s="62"/>
      <c r="D73" s="39"/>
      <c r="E73" s="63"/>
      <c r="F73" s="64"/>
      <c r="G73" s="65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75" customHeight="1">
      <c r="A74" s="1"/>
      <c r="B74" s="62"/>
      <c r="C74" s="62"/>
      <c r="D74" s="39"/>
      <c r="E74" s="63"/>
      <c r="F74" s="64"/>
      <c r="G74" s="65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43"/>
      <c r="B75" s="52"/>
      <c r="C75" s="52"/>
      <c r="D75" s="66"/>
      <c r="E75" s="67"/>
      <c r="F75" s="52"/>
      <c r="G75" s="52"/>
      <c r="H75" s="52"/>
      <c r="I75" s="52"/>
      <c r="J75" s="52"/>
      <c r="K75" s="43"/>
      <c r="L75" s="43"/>
      <c r="M75" s="43"/>
      <c r="N75" s="43"/>
      <c r="O75" s="43"/>
      <c r="P75" s="4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43"/>
      <c r="B76" s="52"/>
      <c r="C76" s="52"/>
      <c r="D76" s="66"/>
      <c r="E76" s="67"/>
      <c r="F76" s="52"/>
      <c r="G76" s="52"/>
      <c r="H76" s="52"/>
      <c r="I76" s="52"/>
      <c r="J76" s="52"/>
      <c r="K76" s="43"/>
      <c r="L76" s="43"/>
      <c r="M76" s="43"/>
      <c r="N76" s="43"/>
      <c r="O76" s="43"/>
      <c r="P76" s="4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43"/>
      <c r="B77" s="52"/>
      <c r="C77" s="52"/>
      <c r="D77" s="66"/>
      <c r="E77" s="67"/>
      <c r="F77" s="52"/>
      <c r="G77" s="52"/>
      <c r="H77" s="52"/>
      <c r="I77" s="52"/>
      <c r="J77" s="52"/>
      <c r="K77" s="43"/>
      <c r="L77" s="43"/>
      <c r="M77" s="43"/>
      <c r="N77" s="43"/>
      <c r="O77" s="43"/>
      <c r="P77" s="4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"/>
      <c r="B78" s="68" t="s">
        <v>72</v>
      </c>
      <c r="C78" s="69"/>
      <c r="D78" s="70">
        <f>SUMPRODUCT((F33:F77&lt;&gt;"NO")*(F33:F77&lt;&gt;"PROGRAMMATA")*D33:D77)</f>
        <v>0</v>
      </c>
      <c r="E78" s="50"/>
      <c r="F78" s="50"/>
      <c r="G78" s="50"/>
      <c r="H78" s="1" t="s">
        <v>182</v>
      </c>
      <c r="I78" s="1"/>
      <c r="J78" s="1"/>
      <c r="K78" s="1"/>
      <c r="L78" s="43"/>
      <c r="M78" s="43"/>
      <c r="N78" s="43"/>
      <c r="O78" s="43"/>
      <c r="P78" s="4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75" customHeight="1">
      <c r="A79" s="43"/>
      <c r="B79" s="71"/>
      <c r="C79" s="71"/>
      <c r="D79" s="72"/>
      <c r="E79" s="71"/>
      <c r="F79" s="71"/>
      <c r="G79" s="71"/>
      <c r="H79" s="71"/>
      <c r="I79" s="71"/>
      <c r="J79" s="71"/>
      <c r="K79" s="43"/>
      <c r="L79" s="43"/>
      <c r="M79" s="43"/>
      <c r="N79" s="43"/>
      <c r="O79" s="43"/>
      <c r="P79" s="4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75" customHeight="1">
      <c r="A80" s="1"/>
      <c r="B80" s="73" t="s">
        <v>74</v>
      </c>
      <c r="C80" s="74"/>
      <c r="D80" s="74"/>
      <c r="E80" s="74"/>
      <c r="F80" s="74"/>
      <c r="G80" s="75"/>
      <c r="H80" s="1" t="s">
        <v>182</v>
      </c>
      <c r="I80" s="1"/>
      <c r="J80" s="1"/>
      <c r="K80" s="1"/>
      <c r="L80" s="43"/>
      <c r="M80" s="43"/>
      <c r="N80" s="43"/>
      <c r="O80" s="43"/>
      <c r="P80" s="4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75" customHeight="1">
      <c r="A81" s="1"/>
      <c r="B81" s="24" t="s">
        <v>75</v>
      </c>
      <c r="C81" s="25" t="s">
        <v>46</v>
      </c>
      <c r="D81" s="25" t="s">
        <v>76</v>
      </c>
      <c r="E81" s="26" t="s">
        <v>47</v>
      </c>
      <c r="F81" s="76" t="s">
        <v>49</v>
      </c>
      <c r="G81" s="69"/>
      <c r="H81" s="24" t="s">
        <v>77</v>
      </c>
      <c r="I81" s="1"/>
      <c r="J81" s="1"/>
      <c r="K81" s="1"/>
      <c r="L81" s="43"/>
      <c r="M81" s="43"/>
      <c r="N81" s="43"/>
      <c r="O81" s="43"/>
      <c r="P81" s="4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75" customHeight="1">
      <c r="A82" s="1"/>
      <c r="B82" s="77" t="s">
        <v>78</v>
      </c>
      <c r="C82" s="39">
        <v>75.0</v>
      </c>
      <c r="D82" s="32">
        <f>IFERROR(C82*VLOOKUP($B82,INVESTIMENTI!$B$23:$E$32,4,FALSE()),0)</f>
        <v>2.25</v>
      </c>
      <c r="E82" s="63"/>
      <c r="F82" s="78"/>
      <c r="G82" s="69"/>
      <c r="H82" s="64" t="s">
        <v>182</v>
      </c>
      <c r="I82" s="1"/>
      <c r="J82" s="1"/>
      <c r="K82" s="1"/>
      <c r="L82" s="43"/>
      <c r="M82" s="43"/>
      <c r="N82" s="43"/>
      <c r="O82" s="43"/>
      <c r="P82" s="4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75" customHeight="1">
      <c r="A83" s="1"/>
      <c r="B83" s="77" t="s">
        <v>79</v>
      </c>
      <c r="C83" s="39">
        <v>75.0</v>
      </c>
      <c r="D83" s="32">
        <f>IFERROR(C83*VLOOKUP($B83,INVESTIMENTI!$B$23:$E$32,4,FALSE()),0)</f>
        <v>2.25</v>
      </c>
      <c r="E83" s="63"/>
      <c r="F83" s="78"/>
      <c r="G83" s="69"/>
      <c r="H83" s="64" t="s">
        <v>182</v>
      </c>
      <c r="I83" s="1"/>
      <c r="J83" s="1"/>
      <c r="K83" s="1"/>
      <c r="L83" s="43"/>
      <c r="M83" s="43"/>
      <c r="N83" s="43"/>
      <c r="O83" s="43"/>
      <c r="P83" s="4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75" customHeight="1">
      <c r="A84" s="1"/>
      <c r="B84" s="77" t="s">
        <v>80</v>
      </c>
      <c r="C84" s="39">
        <v>50.0</v>
      </c>
      <c r="D84" s="32">
        <f>IFERROR(C84*VLOOKUP($B84,INVESTIMENTI!$B$23:$E$32,4,FALSE()),0)</f>
        <v>0</v>
      </c>
      <c r="E84" s="63"/>
      <c r="F84" s="78"/>
      <c r="G84" s="69"/>
      <c r="H84" s="64" t="s">
        <v>182</v>
      </c>
      <c r="I84" s="1"/>
      <c r="J84" s="1"/>
      <c r="K84" s="1"/>
      <c r="L84" s="43"/>
      <c r="M84" s="43"/>
      <c r="N84" s="43"/>
      <c r="O84" s="43"/>
      <c r="P84" s="4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75" customHeight="1">
      <c r="A85" s="1"/>
      <c r="B85" s="77" t="s">
        <v>81</v>
      </c>
      <c r="C85" s="39">
        <f>G29</f>
        <v>0</v>
      </c>
      <c r="D85" s="79">
        <v>0.0</v>
      </c>
      <c r="E85" s="63"/>
      <c r="F85" s="78"/>
      <c r="G85" s="69"/>
      <c r="H85" s="64" t="s">
        <v>182</v>
      </c>
      <c r="I85" s="1"/>
      <c r="J85" s="1"/>
      <c r="K85" s="1"/>
      <c r="L85" s="43"/>
      <c r="M85" s="43"/>
      <c r="N85" s="43"/>
      <c r="O85" s="43"/>
      <c r="P85" s="4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75" customHeight="1">
      <c r="A86" s="1"/>
      <c r="B86" s="77" t="s">
        <v>82</v>
      </c>
      <c r="C86" s="80">
        <f>SETUP!$C$6</f>
        <v>384.31</v>
      </c>
      <c r="D86" s="79">
        <v>0.0</v>
      </c>
      <c r="E86" s="63"/>
      <c r="F86" s="78"/>
      <c r="G86" s="69"/>
      <c r="H86" s="64" t="s">
        <v>182</v>
      </c>
      <c r="I86" s="1"/>
      <c r="J86" s="1"/>
      <c r="K86" s="1"/>
      <c r="L86" s="43"/>
      <c r="M86" s="43"/>
      <c r="N86" s="43"/>
      <c r="O86" s="43"/>
      <c r="P86" s="4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75" customHeight="1">
      <c r="A87" s="1"/>
      <c r="B87" s="77"/>
      <c r="C87" s="39"/>
      <c r="D87" s="32">
        <f>IFERROR(C87*VLOOKUP($B87,INVESTIMENTI!$B$23:$E$32,4,FALSE()),0)</f>
        <v>0</v>
      </c>
      <c r="E87" s="63"/>
      <c r="F87" s="78"/>
      <c r="G87" s="69"/>
      <c r="H87" s="64"/>
      <c r="I87" s="1"/>
      <c r="J87" s="1"/>
      <c r="K87" s="1"/>
      <c r="L87" s="43"/>
      <c r="M87" s="43"/>
      <c r="N87" s="43"/>
      <c r="O87" s="43"/>
      <c r="P87" s="4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75" customHeight="1">
      <c r="A88" s="43"/>
      <c r="B88" s="52"/>
      <c r="C88" s="66"/>
      <c r="D88" s="66"/>
      <c r="E88" s="67"/>
      <c r="F88" s="52"/>
      <c r="G88" s="52"/>
      <c r="H88" s="52"/>
      <c r="I88" s="52"/>
      <c r="J88" s="52"/>
      <c r="K88" s="43"/>
      <c r="L88" s="43"/>
      <c r="M88" s="43"/>
      <c r="N88" s="43"/>
      <c r="O88" s="43"/>
      <c r="P88" s="4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43"/>
      <c r="B89" s="52"/>
      <c r="C89" s="66"/>
      <c r="D89" s="66"/>
      <c r="E89" s="67"/>
      <c r="F89" s="52"/>
      <c r="G89" s="52"/>
      <c r="H89" s="52"/>
      <c r="I89" s="52"/>
      <c r="J89" s="52"/>
      <c r="K89" s="43"/>
      <c r="L89" s="43"/>
      <c r="M89" s="43"/>
      <c r="N89" s="43"/>
      <c r="O89" s="43"/>
      <c r="P89" s="4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.75" customHeight="1">
      <c r="A90" s="1"/>
      <c r="B90" s="77"/>
      <c r="C90" s="39"/>
      <c r="D90" s="32">
        <f>IFERROR(C90*VLOOKUP($B90,INVESTIMENTI!$B$23:$E$32,4,FALSE()),0)</f>
        <v>0</v>
      </c>
      <c r="E90" s="63"/>
      <c r="F90" s="78"/>
      <c r="G90" s="69"/>
      <c r="H90" s="64"/>
      <c r="I90" s="1"/>
      <c r="J90" s="1"/>
      <c r="K90" s="1"/>
      <c r="L90" s="43"/>
      <c r="M90" s="43"/>
      <c r="N90" s="43"/>
      <c r="O90" s="43"/>
      <c r="P90" s="4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.75" customHeight="1">
      <c r="A91" s="1"/>
      <c r="B91" s="77"/>
      <c r="C91" s="39"/>
      <c r="D91" s="32">
        <f>IFERROR(C91*VLOOKUP($B91,INVESTIMENTI!$B$23:$E$32,4,FALSE()),0)</f>
        <v>0</v>
      </c>
      <c r="E91" s="63"/>
      <c r="F91" s="78"/>
      <c r="G91" s="69"/>
      <c r="H91" s="64"/>
      <c r="I91" s="1"/>
      <c r="J91" s="1"/>
      <c r="K91" s="1">
        <f>SUMIF(D15:D28,"ENTRATA PRIVATA (no tasse)",C15:C28)</f>
        <v>908</v>
      </c>
      <c r="L91" s="43"/>
      <c r="M91" s="43"/>
      <c r="N91" s="43"/>
      <c r="O91" s="43"/>
      <c r="P91" s="4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"/>
      <c r="B92" s="48" t="s">
        <v>83</v>
      </c>
      <c r="C92" s="81">
        <f>SUM(C82:C91)+SUM(D82:D91)</f>
        <v>588.81</v>
      </c>
      <c r="D92" s="50"/>
      <c r="E92" s="50"/>
      <c r="F92" s="50"/>
      <c r="G92" s="50"/>
      <c r="H92" s="1"/>
      <c r="I92" s="1"/>
      <c r="J92" s="1"/>
      <c r="K92" s="1">
        <f>SUMPRODUCT((D15:D28="FATTURA P.IVA")*(H15:H28="INCASSATO")*C15:C28)</f>
        <v>0</v>
      </c>
      <c r="L92" s="43"/>
      <c r="M92" s="43"/>
      <c r="N92" s="43"/>
      <c r="O92" s="43"/>
      <c r="P92" s="43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.75" customHeight="1">
      <c r="A93" s="43"/>
      <c r="B93" s="43"/>
      <c r="C93" s="82"/>
      <c r="D93" s="43"/>
      <c r="E93" s="43"/>
      <c r="F93" s="43"/>
      <c r="G93" s="43"/>
      <c r="H93" s="43"/>
      <c r="I93" s="43"/>
      <c r="J93" s="43"/>
      <c r="K93" s="43">
        <f>SUMPRODUCT((D15:D28="FATTURA P.IVA")*(H15:H28="INCASSATO")*IF(E15:E28="SI",(C15:C28-F15:F28-G15:G28)/2,C15:C28-F15:F28))</f>
        <v>0</v>
      </c>
      <c r="L93" s="43"/>
      <c r="M93" s="43"/>
      <c r="N93" s="43"/>
      <c r="O93" s="43"/>
      <c r="P93" s="43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83">
        <f>F29+SETUP!$C$6</f>
        <v>384.31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84">
        <f>D78</f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84">
        <f>C92</f>
        <v>588.81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84">
        <f>IFERROR(B4/K92,0)</f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84">
        <f>SUMPRODUCT((D15:D28="FATTURA P.IVA")*((H15:H28="INCASSATO")+(H15:H28="FATTURATO"))*C15:C28)</f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84">
        <f>SUMPRODUCT((D15:D28="FATTURA P.IVA")*C15:C28)</f>
        <v>750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>
        <f>SUMIF(F33:F77,"PROGRAMMATA",D33:D77)</f>
        <v>28.61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85">
        <f>K100-K104</f>
        <v>721.39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85">
        <f>K99-K92</f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85">
        <f>K100-K99</f>
        <v>750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>
        <f>SUMIF(D15:D28,"ENTRATA PRIVATA PROGRAMMATA",C15:C28)</f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B2:K2"/>
    <mergeCell ref="B3:K3"/>
    <mergeCell ref="B4:K4"/>
    <mergeCell ref="B5:K5"/>
    <mergeCell ref="D7:E7"/>
    <mergeCell ref="F7:G7"/>
    <mergeCell ref="I7:J7"/>
    <mergeCell ref="B7:C7"/>
    <mergeCell ref="B8:C8"/>
    <mergeCell ref="D8:E8"/>
    <mergeCell ref="F8:G8"/>
    <mergeCell ref="I8:J9"/>
    <mergeCell ref="B9:C9"/>
    <mergeCell ref="D9:E9"/>
    <mergeCell ref="F82:G82"/>
    <mergeCell ref="F83:G83"/>
    <mergeCell ref="F84:G84"/>
    <mergeCell ref="F85:G85"/>
    <mergeCell ref="F86:G86"/>
    <mergeCell ref="F87:G87"/>
    <mergeCell ref="F90:G90"/>
    <mergeCell ref="F91:G91"/>
    <mergeCell ref="F9:G9"/>
    <mergeCell ref="B11:K11"/>
    <mergeCell ref="B13:G13"/>
    <mergeCell ref="B31:G31"/>
    <mergeCell ref="B78:C78"/>
    <mergeCell ref="B80:G80"/>
    <mergeCell ref="F81:G81"/>
  </mergeCells>
  <conditionalFormatting sqref="B4">
    <cfRule type="cellIs" dxfId="0" priority="1" operator="lessThan">
      <formula>0</formula>
    </cfRule>
  </conditionalFormatting>
  <conditionalFormatting sqref="F8">
    <cfRule type="expression" dxfId="1" priority="2">
      <formula>LEFT($F$8,1)="🔴"</formula>
    </cfRule>
  </conditionalFormatting>
  <conditionalFormatting sqref="F8">
    <cfRule type="expression" dxfId="2" priority="3">
      <formula>LEFT($F$8,1)="🟢"</formula>
    </cfRule>
  </conditionalFormatting>
  <conditionalFormatting sqref="F8">
    <cfRule type="expression" dxfId="3" priority="4">
      <formula>LEFT($F$8,1)="🟡"</formula>
    </cfRule>
  </conditionalFormatting>
  <conditionalFormatting sqref="F8">
    <cfRule type="expression" dxfId="3" priority="5">
      <formula>LEFT($F$8,1)="🟠"</formula>
    </cfRule>
  </conditionalFormatting>
  <conditionalFormatting sqref="D30">
    <cfRule type="expression" dxfId="4" priority="6">
      <formula>$F$30="NO"</formula>
    </cfRule>
  </conditionalFormatting>
  <conditionalFormatting sqref="D31">
    <cfRule type="expression" dxfId="4" priority="7">
      <formula>$F$31="NO"</formula>
    </cfRule>
  </conditionalFormatting>
  <conditionalFormatting sqref="D32">
    <cfRule type="expression" dxfId="4" priority="8">
      <formula>$F$32="NO"</formula>
    </cfRule>
  </conditionalFormatting>
  <conditionalFormatting sqref="D33">
    <cfRule type="expression" dxfId="4" priority="9">
      <formula>$F$33="NO"</formula>
    </cfRule>
  </conditionalFormatting>
  <conditionalFormatting sqref="D34">
    <cfRule type="expression" dxfId="4" priority="10">
      <formula>$F$34="NO"</formula>
    </cfRule>
  </conditionalFormatting>
  <conditionalFormatting sqref="D35">
    <cfRule type="expression" dxfId="4" priority="11">
      <formula>$F$35="NO"</formula>
    </cfRule>
  </conditionalFormatting>
  <conditionalFormatting sqref="D36">
    <cfRule type="expression" dxfId="4" priority="12">
      <formula>$F$36="NO"</formula>
    </cfRule>
  </conditionalFormatting>
  <conditionalFormatting sqref="D37">
    <cfRule type="expression" dxfId="4" priority="13">
      <formula>$F$37="NO"</formula>
    </cfRule>
  </conditionalFormatting>
  <conditionalFormatting sqref="D38">
    <cfRule type="expression" dxfId="4" priority="14">
      <formula>$F$38="NO"</formula>
    </cfRule>
  </conditionalFormatting>
  <conditionalFormatting sqref="D39">
    <cfRule type="expression" dxfId="4" priority="15">
      <formula>$F$39="NO"</formula>
    </cfRule>
  </conditionalFormatting>
  <conditionalFormatting sqref="D40">
    <cfRule type="expression" dxfId="4" priority="16">
      <formula>$F$40="NO"</formula>
    </cfRule>
  </conditionalFormatting>
  <conditionalFormatting sqref="D41">
    <cfRule type="expression" dxfId="4" priority="17">
      <formula>$F$41="NO"</formula>
    </cfRule>
  </conditionalFormatting>
  <conditionalFormatting sqref="D42">
    <cfRule type="expression" dxfId="4" priority="18">
      <formula>$F$42="NO"</formula>
    </cfRule>
  </conditionalFormatting>
  <conditionalFormatting sqref="D43">
    <cfRule type="expression" dxfId="4" priority="19">
      <formula>$F$43="NO"</formula>
    </cfRule>
  </conditionalFormatting>
  <conditionalFormatting sqref="D44">
    <cfRule type="expression" dxfId="4" priority="20">
      <formula>$F$44="NO"</formula>
    </cfRule>
  </conditionalFormatting>
  <conditionalFormatting sqref="D45">
    <cfRule type="expression" dxfId="4" priority="21">
      <formula>$F$45="NO"</formula>
    </cfRule>
  </conditionalFormatting>
  <conditionalFormatting sqref="D46">
    <cfRule type="expression" dxfId="4" priority="22">
      <formula>$F$46="NO"</formula>
    </cfRule>
  </conditionalFormatting>
  <conditionalFormatting sqref="D47">
    <cfRule type="expression" dxfId="4" priority="23">
      <formula>$F$47="NO"</formula>
    </cfRule>
  </conditionalFormatting>
  <conditionalFormatting sqref="D48">
    <cfRule type="expression" dxfId="4" priority="24">
      <formula>$F$48="NO"</formula>
    </cfRule>
  </conditionalFormatting>
  <conditionalFormatting sqref="D49">
    <cfRule type="expression" dxfId="4" priority="25">
      <formula>$F$49="NO"</formula>
    </cfRule>
  </conditionalFormatting>
  <conditionalFormatting sqref="D50">
    <cfRule type="expression" dxfId="4" priority="26">
      <formula>$F$50="NO"</formula>
    </cfRule>
  </conditionalFormatting>
  <conditionalFormatting sqref="D51">
    <cfRule type="expression" dxfId="4" priority="27">
      <formula>$F$51="NO"</formula>
    </cfRule>
  </conditionalFormatting>
  <conditionalFormatting sqref="D52">
    <cfRule type="expression" dxfId="4" priority="28">
      <formula>$F$52="NO"</formula>
    </cfRule>
  </conditionalFormatting>
  <conditionalFormatting sqref="D53">
    <cfRule type="expression" dxfId="4" priority="29">
      <formula>$F$53="NO"</formula>
    </cfRule>
  </conditionalFormatting>
  <conditionalFormatting sqref="D54">
    <cfRule type="expression" dxfId="4" priority="30">
      <formula>$F$54="NO"</formula>
    </cfRule>
  </conditionalFormatting>
  <conditionalFormatting sqref="D55">
    <cfRule type="expression" dxfId="4" priority="31">
      <formula>$F$55="NO"</formula>
    </cfRule>
  </conditionalFormatting>
  <conditionalFormatting sqref="D56">
    <cfRule type="expression" dxfId="4" priority="32">
      <formula>$F$56="NO"</formula>
    </cfRule>
  </conditionalFormatting>
  <conditionalFormatting sqref="D57">
    <cfRule type="expression" dxfId="4" priority="33">
      <formula>$F$57="NO"</formula>
    </cfRule>
  </conditionalFormatting>
  <conditionalFormatting sqref="D58">
    <cfRule type="expression" dxfId="4" priority="34">
      <formula>$F$58="NO"</formula>
    </cfRule>
  </conditionalFormatting>
  <conditionalFormatting sqref="D59">
    <cfRule type="expression" dxfId="4" priority="35">
      <formula>$F$59="NO"</formula>
    </cfRule>
  </conditionalFormatting>
  <conditionalFormatting sqref="D60">
    <cfRule type="expression" dxfId="4" priority="36">
      <formula>$F$60="NO"</formula>
    </cfRule>
  </conditionalFormatting>
  <conditionalFormatting sqref="D61">
    <cfRule type="expression" dxfId="4" priority="37">
      <formula>$F$61="NO"</formula>
    </cfRule>
  </conditionalFormatting>
  <conditionalFormatting sqref="D62">
    <cfRule type="expression" dxfId="4" priority="38">
      <formula>$F$62="NO"</formula>
    </cfRule>
  </conditionalFormatting>
  <conditionalFormatting sqref="D63">
    <cfRule type="expression" dxfId="4" priority="39">
      <formula>$F$63="NO"</formula>
    </cfRule>
  </conditionalFormatting>
  <conditionalFormatting sqref="D64">
    <cfRule type="expression" dxfId="4" priority="40">
      <formula>$F$64="NO"</formula>
    </cfRule>
  </conditionalFormatting>
  <conditionalFormatting sqref="D65">
    <cfRule type="expression" dxfId="4" priority="41">
      <formula>$F$65="NO"</formula>
    </cfRule>
  </conditionalFormatting>
  <conditionalFormatting sqref="D66">
    <cfRule type="expression" dxfId="4" priority="42">
      <formula>$F$66="NO"</formula>
    </cfRule>
  </conditionalFormatting>
  <conditionalFormatting sqref="D67">
    <cfRule type="expression" dxfId="4" priority="43">
      <formula>$F$67="NO"</formula>
    </cfRule>
  </conditionalFormatting>
  <conditionalFormatting sqref="D68">
    <cfRule type="expression" dxfId="4" priority="44">
      <formula>$F$68="NO"</formula>
    </cfRule>
  </conditionalFormatting>
  <conditionalFormatting sqref="D69">
    <cfRule type="expression" dxfId="4" priority="45">
      <formula>$F$69="NO"</formula>
    </cfRule>
  </conditionalFormatting>
  <conditionalFormatting sqref="D70">
    <cfRule type="expression" dxfId="4" priority="46">
      <formula>$F$70="NO"</formula>
    </cfRule>
  </conditionalFormatting>
  <conditionalFormatting sqref="D71">
    <cfRule type="expression" dxfId="4" priority="47">
      <formula>$F$71="NO"</formula>
    </cfRule>
  </conditionalFormatting>
  <conditionalFormatting sqref="D72">
    <cfRule type="expression" dxfId="4" priority="48">
      <formula>$F$72="NO"</formula>
    </cfRule>
  </conditionalFormatting>
  <conditionalFormatting sqref="D73">
    <cfRule type="expression" dxfId="4" priority="49">
      <formula>$F$73="NO"</formula>
    </cfRule>
  </conditionalFormatting>
  <conditionalFormatting sqref="D74">
    <cfRule type="expression" dxfId="4" priority="50">
      <formula>$F$74="NO"</formula>
    </cfRule>
  </conditionalFormatting>
  <dataValidations>
    <dataValidation type="list" allowBlank="1" sqref="H15:H28">
      <formula1>"INCASSATO,FATTURATO,PROGRAMMATO"</formula1>
    </dataValidation>
    <dataValidation type="list" allowBlank="1" sqref="F33:F77">
      <formula1>"SI,NO,PROGRAMMATA"</formula1>
    </dataValidation>
    <dataValidation type="list" allowBlank="1" sqref="E15:E28">
      <formula1>"SI,NO"</formula1>
    </dataValidation>
    <dataValidation type="list" allowBlank="1" sqref="D15:D28">
      <formula1>"FATTURA P.IVA,ENTRATA PRIVATA (no tasse),ENTRATA PRIVATA PROGRAMMATA"</formula1>
    </dataValidation>
    <dataValidation type="list" allowBlank="1" sqref="H82:H91">
      <formula1>"VERSATO,DA VERSARE"</formula1>
    </dataValidation>
    <dataValidation type="list" allowBlank="1" sqref="B33:B77">
      <formula1>SETUP!$B$18:$B$32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5CFF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0"/>
    <col customWidth="1" min="2" max="2" width="24.0"/>
    <col customWidth="1" min="3" max="14" width="11.0"/>
    <col customWidth="1" min="15" max="15" width="14.0"/>
    <col customWidth="1" min="16" max="16" width="1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1"/>
      <c r="B2" s="3" t="s">
        <v>193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194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ht="55.5" customHeight="1">
      <c r="A4" s="1"/>
      <c r="B4" s="7">
        <f t="array" ref="B4">IFERROR(INDIRECT("GENNAIO!B4"),0)+IFERROR(FEBBRAIO!B4,0)+IFERROR(MARZO!B4,0)+IFERROR(APRILE!B4,0)+IFERROR(MAGGIO!B4,0)+IFERROR(GIUGNO!B4,0)+IFERROR(LUGLIO!B4,0)+IFERROR(AGOSTO!B4,0)+IFERROR(SETTEMBRE!B4,0)+IFERROR(OTTOBRE!B4,0)+IFERROR(NOVEMBRE!B4,0)+IFERROR(DICEMBRE!B4,0)</f>
        <v>7373.7159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6" t="str">
        <f t="array" ref="B5">CONCATENATE("Netto Reale YTD  •  Fatturato P.IVA: €",TEXT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,"#,##0"),"  •  Accantonato (tasse+INPS): €",TEXT(IFERROR(INDIRECT("GENNAIO!K94"),0)+IFERROR(FEBBRAIO!K94,0)+IFERROR(MARZO!K94,0)+IFERROR(APRILE!K94,0)+IFERROR(MAGGIO!K95,0)+IFERROR(GIUGNO!K94,0)+IFERROR(LUGLIO!K94,0)+IFERROR(AGOSTO!K94,0)+IFERROR(SETTEMBRE!K94,0)+IFERROR(OTTOBRE!K94,0)+IFERROR(NOVEMBRE!K94,0)+IFERROR(DICEMBRE!K94,0),"#,##0"))</f>
        <v>Netto Reale YTD  •  Fatturato P.IVA: €3.945  •  Accantonato (tasse+INPS): €4.745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8" t="s">
        <v>195</v>
      </c>
      <c r="C7" s="4"/>
      <c r="D7" s="5"/>
      <c r="E7" s="8" t="s">
        <v>196</v>
      </c>
      <c r="F7" s="4"/>
      <c r="G7" s="5"/>
      <c r="H7" s="8" t="s">
        <v>197</v>
      </c>
      <c r="I7" s="4"/>
      <c r="J7" s="5"/>
      <c r="K7" s="8" t="s">
        <v>198</v>
      </c>
      <c r="L7" s="4"/>
      <c r="M7" s="5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"/>
      <c r="B8" s="100">
        <f t="array" ref="B8">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</f>
        <v>3944.70675</v>
      </c>
      <c r="C8" s="4"/>
      <c r="D8" s="5"/>
      <c r="E8" s="101">
        <f t="array" ref="E8">(IFERROR(INDIRECT("GENNAIO!F25"),0)+IFERROR(FEBBRAIO!F25,0)+IFERROR(MARZO!F25,0)+IFERROR(APRILE!F25,0)+IFERROR(MAGGIO!F26,0)+IFERROR(GIUGNO!F25,0)+IFERROR(LUGLIO!F25,0)+IFERROR(AGOSTO!F25,0)+IFERROR(SETTEMBRE!F25,0)+IFERROR(OTTOBRE!F25,0)+IFERROR(NOVEMBRE!F25,0)+IFERROR(DICEMBRE!F25,0))+(12*SETUP!$C$6)</f>
        <v>4611.72</v>
      </c>
      <c r="F8" s="4"/>
      <c r="G8" s="5"/>
      <c r="H8" s="102">
        <f t="array" ref="H8">IFERROR(INDIRECT("GENNAIO!D75"),0)+IFERROR(FEBBRAIO!D75,0)+IFERROR(MARZO!D75,0)+IFERROR(APRILE!D75,0)+IFERROR(MAGGIO!D76,0)+IFERROR(GIUGNO!D75,0)+IFERROR(LUGLIO!D75,0)+IFERROR(AGOSTO!D75,0)+IFERROR(SETTEMBRE!D75,0)+IFERROR(OTTOBRE!D75,0)+IFERROR(NOVEMBRE!D75,0)+IFERROR(DICEMBRE!D75,0)</f>
        <v>0</v>
      </c>
      <c r="I8" s="4"/>
      <c r="J8" s="5"/>
      <c r="K8" s="100">
        <f>B4</f>
        <v>7373.7159</v>
      </c>
      <c r="L8" s="4"/>
      <c r="M8" s="5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5" t="str">
        <f t="array" ref="B9">CONCATENATE("vs limite €85k: ",TEXT(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)/SETUP!$C$10,"0.0%"))</f>
        <v>vs limite €85k: 4,6%</v>
      </c>
      <c r="C9" s="4"/>
      <c r="D9" s="5"/>
      <c r="E9" s="15" t="str">
        <f t="array" ref="E9">CONCATENATE("Tasse €",TEXT(IFERROR(INDIRECT("GENNAIO!F25"),0)+IFERROR(FEBBRAIO!F25,0)+IFERROR(MARZO!F25,0)+IFERROR(APRILE!F25,0)+IFERROR(MAGGIO!F26,0)+IFERROR(GIUGNO!F25,0)+IFERROR(LUGLIO!F25,0)+IFERROR(AGOSTO!F25,0)+IFERROR(SETTEMBRE!F25,0)+IFERROR(OTTOBRE!F25,0)+IFERROR(NOVEMBRE!F25,0)+IFERROR(DICEMBRE!F25,0),"#,##0")," + INPS €",TEXT(12*SETUP!$C$6,"#,##0"))</f>
        <v>Tasse €0 + INPS €4.612</v>
      </c>
      <c r="F9" s="4"/>
      <c r="G9" s="5"/>
      <c r="H9" s="15" t="str">
        <f t="array" ref="H9">CONCATENATE("Secchielli €",TEXT(IFERROR(INDIRECT("GENNAIO!C89"),0)+IFERROR(FEBBRAIO!C89,0)+IFERROR(MARZO!C89,0)+IFERROR(APRILE!C89,0)+IFERROR(MAGGIO!C90,0)+IFERROR(GIUGNO!C89,0)+IFERROR(LUGLIO!C89,0)+IFERROR(AGOSTO!C89,0)+IFERROR(SETTEMBRE!C89,0)+IFERROR(OTTOBRE!C89,0)+IFERROR(NOVEMBRE!C89,0)+IFERROR(DICEMBRE!C89,0),"#,##0"))</f>
        <v>Secchielli €0</v>
      </c>
      <c r="I9" s="4"/>
      <c r="J9" s="5"/>
      <c r="K9" s="15" t="str">
        <f t="array" ref="K9">CONCATENATE("Saving rate ",TEXT(IFERROR((IFERROR(INDIRECT("GENNAIO!C89"),0)+IFERROR(FEBBRAIO!C89,0)+IFERROR(MARZO!C89,0)+IFERROR(APRILE!C89,0)+IFERROR(MAGGIO!C90,0)+IFERROR(GIUGNO!C89,0)+IFERROR(LUGLIO!C89,0)+IFERROR(AGOSTO!C89,0)+IFERROR(SETTEMBRE!C89,0)+IFERROR(OTTOBRE!C89,0)+IFERROR(NOVEMBRE!C89,0)+IFERROR(DICEMBRE!C89,0))/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),0),"0.0%"))</f>
        <v>Saving rate 0,0%</v>
      </c>
      <c r="L9" s="4"/>
      <c r="M9" s="5"/>
      <c r="N9" s="1"/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"/>
      <c r="B11" s="18" t="str">
        <f t="array" ref="B11">CONCATENATE("⚠ Soglia 85k: €",TEXT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,"#,##0"),"/",TEXT(SETUP!$C$10,"#,##0"), "  •  Soglia INPS lordo €23.608: ",IF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&gt;SETUP!$C$8,"🔴 SUPERATA — accantona +24%",IF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&gt;SETUP!$C$8*0.8,"🟡 vicino soglia","🟢 OK")), "  •  Limite forfettario: ",IF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&gt;SETUP!$C$10,"🔴 SUPERATO!",IF(IFERROR(INDIRECT("GENNAIO!K92"),0)+IFERROR(FEBBRAIO!K92,0)+IFERROR(MARZO!K92,0)+IFERROR(APRILE!K92,0)+IFERROR(MAGGIO!K93,0)+IFERROR(GIUGNO!K92,0)+IFERROR(LUGLIO!K92,0)+IFERROR(AGOSTO!K92,0)+IFERROR(SETTEMBRE!K92,0)+IFERROR(OTTOBRE!K92,0)+IFERROR(NOVEMBRE!K92,0)+IFERROR(DICEMBRE!K92,0)&gt;SETUP!$C$10*0.85,"🟡 quasi al limite","🟢 OK")))</f>
        <v>⚠ Soglia 85k: €3.945/85.000  •  Soglia INPS lordo €23.608: 🟢 OK  •  Limite forfettario: 🟢 OK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"/>
      <c r="B13" s="103" t="s">
        <v>199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1"/>
      <c r="B14" s="104" t="s">
        <v>200</v>
      </c>
      <c r="C14" s="105" t="s">
        <v>201</v>
      </c>
      <c r="D14" s="105" t="s">
        <v>202</v>
      </c>
      <c r="E14" s="105" t="s">
        <v>203</v>
      </c>
      <c r="F14" s="105" t="s">
        <v>204</v>
      </c>
      <c r="G14" s="105" t="s">
        <v>205</v>
      </c>
      <c r="H14" s="105" t="s">
        <v>206</v>
      </c>
      <c r="I14" s="105" t="s">
        <v>207</v>
      </c>
      <c r="J14" s="105" t="s">
        <v>208</v>
      </c>
      <c r="K14" s="105" t="s">
        <v>209</v>
      </c>
      <c r="L14" s="105" t="s">
        <v>210</v>
      </c>
      <c r="M14" s="105" t="s">
        <v>211</v>
      </c>
      <c r="N14" s="105" t="s">
        <v>212</v>
      </c>
      <c r="O14" s="106" t="s">
        <v>213</v>
      </c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43"/>
      <c r="B15" s="107" t="s">
        <v>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3"/>
      <c r="B16" s="27" t="s">
        <v>15</v>
      </c>
      <c r="C16" s="108">
        <f>IFERROR(GENNAIO!K92,0)</f>
        <v>450</v>
      </c>
      <c r="D16" s="108">
        <f>IFERROR(FEBBRAIO!K92,0)</f>
        <v>250</v>
      </c>
      <c r="E16" s="108">
        <f>IFERROR(MARZO!K92,0)</f>
        <v>1300</v>
      </c>
      <c r="F16" s="108">
        <f>IFERROR(APRILE!K92,0)</f>
        <v>1850</v>
      </c>
      <c r="G16" s="108">
        <f>IFERROR(MAGGIO!K92,0)</f>
        <v>250</v>
      </c>
      <c r="H16" s="108">
        <f>IFERROR(GIUGNO!K92,0)</f>
        <v>0</v>
      </c>
      <c r="I16" s="108">
        <f>IFERROR(LUGLIO!K92,0)</f>
        <v>0</v>
      </c>
      <c r="J16" s="108">
        <f>IFERROR(AGOSTO!K92,0)</f>
        <v>0</v>
      </c>
      <c r="K16" s="108">
        <f>IFERROR(SETTEMBRE!K92,0)</f>
        <v>0</v>
      </c>
      <c r="L16" s="108">
        <f>IFERROR(OTTOBRE!K92,0)</f>
        <v>0</v>
      </c>
      <c r="M16" s="108">
        <f>IFERROR(NOVEMBRE!K92,0)</f>
        <v>0</v>
      </c>
      <c r="N16" s="108">
        <f>IFERROR(DICEMBRE!K92,0)</f>
        <v>0</v>
      </c>
      <c r="O16" s="109">
        <f t="shared" ref="O16:O17" si="1">SUM(C16:N16)</f>
        <v>4100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3"/>
      <c r="B17" s="27" t="s">
        <v>20</v>
      </c>
      <c r="C17" s="108">
        <f>IFERROR(GENNAIO!K91,0)</f>
        <v>1550</v>
      </c>
      <c r="D17" s="108">
        <f>IFERROR(FEBBRAIO!K91,0)</f>
        <v>1450</v>
      </c>
      <c r="E17" s="108">
        <f>IFERROR(MARZO!K91,0)</f>
        <v>1450</v>
      </c>
      <c r="F17" s="108">
        <f>IFERROR(APRILE!K91,0)</f>
        <v>1138</v>
      </c>
      <c r="G17" s="108">
        <f>IFERROR(MAGGIO!K91,0)</f>
        <v>7058</v>
      </c>
      <c r="H17" s="108">
        <f>IFERROR(GIUGNO!K91,0)</f>
        <v>908</v>
      </c>
      <c r="I17" s="108">
        <f>IFERROR(LUGLIO!K91,0)</f>
        <v>908</v>
      </c>
      <c r="J17" s="108">
        <f>IFERROR(AGOSTO!K91,0)</f>
        <v>908</v>
      </c>
      <c r="K17" s="108">
        <f>IFERROR(SETTEMBRE!K91,0)</f>
        <v>908</v>
      </c>
      <c r="L17" s="108">
        <f>IFERROR(OTTOBRE!K91,0)</f>
        <v>908</v>
      </c>
      <c r="M17" s="108">
        <f>IFERROR(NOVEMBRE!K91,0)</f>
        <v>908</v>
      </c>
      <c r="N17" s="108">
        <f>IFERROR(DICEMBRE!K91,0)</f>
        <v>908</v>
      </c>
      <c r="O17" s="109">
        <f t="shared" si="1"/>
        <v>19002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43"/>
      <c r="B18" s="110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3"/>
      <c r="B19" s="27" t="s">
        <v>26</v>
      </c>
      <c r="C19" s="111">
        <f>IFERROR(GENNAIO!K106,0)</f>
        <v>0</v>
      </c>
      <c r="D19" s="111">
        <f>IFERROR(FEBBRAIO!K106,0)</f>
        <v>0</v>
      </c>
      <c r="E19" s="111">
        <f>IFERROR(MARZO!K106,0)</f>
        <v>0</v>
      </c>
      <c r="F19" s="111">
        <f>IFERROR(APRILE!K106,0)</f>
        <v>1500</v>
      </c>
      <c r="G19" s="111">
        <f>IFERROR(MAGGIO!K106,0)</f>
        <v>2050</v>
      </c>
      <c r="H19" s="111">
        <f>IFERROR(GIUGNO!K106,0)</f>
        <v>0</v>
      </c>
      <c r="I19" s="111">
        <f>IFERROR(LUGLIO!K106,0)</f>
        <v>0</v>
      </c>
      <c r="J19" s="111">
        <f>IFERROR(AGOSTO!K106,0)</f>
        <v>0</v>
      </c>
      <c r="K19" s="111">
        <f>IFERROR(SETTEMBRE!K106,0)</f>
        <v>0</v>
      </c>
      <c r="L19" s="111">
        <f>IFERROR(OTTOBRE!K106,0)</f>
        <v>0</v>
      </c>
      <c r="M19" s="111">
        <f>IFERROR(NOVEMBRE!K106,0)</f>
        <v>0</v>
      </c>
      <c r="N19" s="111">
        <f>IFERROR(DICEMBRE!K106,0)</f>
        <v>0</v>
      </c>
      <c r="O19" s="112">
        <f t="shared" ref="O19:O21" si="2">SUM(C19:N19)</f>
        <v>3550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3"/>
      <c r="B20" s="27" t="s">
        <v>28</v>
      </c>
      <c r="C20" s="111">
        <f>IFERROR(GENNAIO!K107,0)</f>
        <v>0</v>
      </c>
      <c r="D20" s="111">
        <f>IFERROR(FEBBRAIO!K107,0)</f>
        <v>0</v>
      </c>
      <c r="E20" s="111">
        <f>IFERROR(MARZO!K107,0)</f>
        <v>0</v>
      </c>
      <c r="F20" s="111">
        <f>IFERROR(APRILE!K107,0)</f>
        <v>0</v>
      </c>
      <c r="G20" s="111">
        <f>IFERROR(MAGGIO!K107,0)</f>
        <v>0</v>
      </c>
      <c r="H20" s="111">
        <f>IFERROR(GIUGNO!K107,0)</f>
        <v>3450</v>
      </c>
      <c r="I20" s="111">
        <f>IFERROR(LUGLIO!K107,0)</f>
        <v>2500</v>
      </c>
      <c r="J20" s="111">
        <f>IFERROR(AGOSTO!K107,0)</f>
        <v>2500</v>
      </c>
      <c r="K20" s="111">
        <f>IFERROR(SETTEMBRE!K107,0)</f>
        <v>1850</v>
      </c>
      <c r="L20" s="111">
        <f>IFERROR(OTTOBRE!K107,0)</f>
        <v>750</v>
      </c>
      <c r="M20" s="111">
        <f>IFERROR(NOVEMBRE!K107,0)</f>
        <v>750</v>
      </c>
      <c r="N20" s="111">
        <f>IFERROR(DICEMBRE!K107,0)</f>
        <v>750</v>
      </c>
      <c r="O20" s="112">
        <f t="shared" si="2"/>
        <v>12550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43"/>
      <c r="B21" s="27" t="s">
        <v>30</v>
      </c>
      <c r="C21" s="111">
        <f>IFERROR(GENNAIO!K108,0)</f>
        <v>0</v>
      </c>
      <c r="D21" s="111">
        <f>IFERROR(FEBBRAIO!K108,0)</f>
        <v>0</v>
      </c>
      <c r="E21" s="111">
        <f>IFERROR(MARZO!K108,0)</f>
        <v>0</v>
      </c>
      <c r="F21" s="111">
        <f>IFERROR(APRILE!K108,0)</f>
        <v>0</v>
      </c>
      <c r="G21" s="111">
        <f>IFERROR(MAGGIO!K108,0)</f>
        <v>0</v>
      </c>
      <c r="H21" s="111">
        <f>IFERROR(GIUGNO!K108,0)</f>
        <v>0</v>
      </c>
      <c r="I21" s="111">
        <f>IFERROR(LUGLIO!K108,0)</f>
        <v>0</v>
      </c>
      <c r="J21" s="111">
        <f>IFERROR(AGOSTO!K108,0)</f>
        <v>0</v>
      </c>
      <c r="K21" s="111">
        <f>IFERROR(SETTEMBRE!K108,0)</f>
        <v>0</v>
      </c>
      <c r="L21" s="111">
        <f>IFERROR(OTTOBRE!K108,0)</f>
        <v>0</v>
      </c>
      <c r="M21" s="111">
        <f>IFERROR(NOVEMBRE!K108,0)</f>
        <v>0</v>
      </c>
      <c r="N21" s="111">
        <f>IFERROR(DICEMBRE!K108,0)</f>
        <v>0</v>
      </c>
      <c r="O21" s="112">
        <f t="shared" si="2"/>
        <v>0</v>
      </c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43"/>
      <c r="B22" s="113" t="s">
        <v>32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43"/>
      <c r="B23" s="27" t="s">
        <v>34</v>
      </c>
      <c r="C23" s="114">
        <f>IFERROR(GENNAIO!F29,0)</f>
        <v>17.55</v>
      </c>
      <c r="D23" s="114">
        <f>IFERROR(FEBBRAIO!F29,0)</f>
        <v>9.75</v>
      </c>
      <c r="E23" s="114">
        <f>IFERROR(MARZO!F29,0)</f>
        <v>50.7</v>
      </c>
      <c r="F23" s="114">
        <f>IFERROR(APRILE!F29,0)</f>
        <v>72.15</v>
      </c>
      <c r="G23" s="114">
        <f>IFERROR(MAGGIO!F29,0)</f>
        <v>9.75</v>
      </c>
      <c r="H23" s="114">
        <f>IFERROR(GIUGNO!F29,0)</f>
        <v>0</v>
      </c>
      <c r="I23" s="114">
        <f>IFERROR(LUGLIO!F29,0)</f>
        <v>0</v>
      </c>
      <c r="J23" s="114">
        <f>IFERROR(AGOSTO!F29,0)</f>
        <v>0</v>
      </c>
      <c r="K23" s="114">
        <f>IFERROR(SETTEMBRE!F29,0)</f>
        <v>0</v>
      </c>
      <c r="L23" s="114">
        <f>IFERROR(OTTOBRE!F29,0)</f>
        <v>0</v>
      </c>
      <c r="M23" s="114">
        <f>IFERROR(NOVEMBRE!F29,0)</f>
        <v>0</v>
      </c>
      <c r="N23" s="114">
        <f>IFERROR(DICEMBRE!F29,0)</f>
        <v>0</v>
      </c>
      <c r="O23" s="115">
        <f t="shared" ref="O23:O25" si="3">SUM(C23:N23)</f>
        <v>159.9</v>
      </c>
      <c r="P23" s="4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43"/>
      <c r="B24" s="27" t="s">
        <v>36</v>
      </c>
      <c r="C24" s="114">
        <f>IFERROR(GENNAIO!G29,0)</f>
        <v>50.8365</v>
      </c>
      <c r="D24" s="114">
        <f>IFERROR(FEBBRAIO!G29,0)</f>
        <v>50.8365</v>
      </c>
      <c r="E24" s="114">
        <f>IFERROR(MARZO!G29,0)</f>
        <v>264.3498</v>
      </c>
      <c r="F24" s="114">
        <f>IFERROR(APRILE!G29,0)</f>
        <v>376.1901</v>
      </c>
      <c r="G24" s="114">
        <f>IFERROR(MAGGIO!G29,0)</f>
        <v>50.8365</v>
      </c>
      <c r="H24" s="114">
        <f>IFERROR(GIUGNO!G29,0)</f>
        <v>0</v>
      </c>
      <c r="I24" s="114">
        <f>IFERROR(LUGLIO!G29,0)</f>
        <v>0</v>
      </c>
      <c r="J24" s="114">
        <f>IFERROR(AGOSTO!G29,0)</f>
        <v>0</v>
      </c>
      <c r="K24" s="114">
        <f>IFERROR(SETTEMBRE!G29,0)</f>
        <v>0</v>
      </c>
      <c r="L24" s="114">
        <f>IFERROR(OTTOBRE!G29,0)</f>
        <v>0</v>
      </c>
      <c r="M24" s="114">
        <f>IFERROR(NOVEMBRE!G29,0)</f>
        <v>0</v>
      </c>
      <c r="N24" s="114">
        <f>IFERROR(DICEMBRE!G29,0)</f>
        <v>0</v>
      </c>
      <c r="O24" s="115">
        <f t="shared" si="3"/>
        <v>793.0494</v>
      </c>
      <c r="P24" s="4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43"/>
      <c r="B25" s="27" t="s">
        <v>214</v>
      </c>
      <c r="C25" s="114">
        <f>SETUP!$C$6</f>
        <v>384.31</v>
      </c>
      <c r="D25" s="114">
        <f>SETUP!$C$6</f>
        <v>384.31</v>
      </c>
      <c r="E25" s="114">
        <f>SETUP!$C$6</f>
        <v>384.31</v>
      </c>
      <c r="F25" s="114">
        <f>SETUP!$C$6</f>
        <v>384.31</v>
      </c>
      <c r="G25" s="114">
        <f>SETUP!$C$6</f>
        <v>384.31</v>
      </c>
      <c r="H25" s="114">
        <f>SETUP!$C$6</f>
        <v>384.31</v>
      </c>
      <c r="I25" s="114">
        <f>SETUP!$C$6</f>
        <v>384.31</v>
      </c>
      <c r="J25" s="114">
        <f>SETUP!$C$6</f>
        <v>384.31</v>
      </c>
      <c r="K25" s="114">
        <f>SETUP!$C$6</f>
        <v>384.31</v>
      </c>
      <c r="L25" s="114">
        <f>SETUP!$C$6</f>
        <v>384.31</v>
      </c>
      <c r="M25" s="114">
        <f>SETUP!$C$6</f>
        <v>384.31</v>
      </c>
      <c r="N25" s="114">
        <f>SETUP!$C$6</f>
        <v>384.31</v>
      </c>
      <c r="O25" s="115">
        <f t="shared" si="3"/>
        <v>4611.72</v>
      </c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43"/>
      <c r="B26" s="116" t="s">
        <v>37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43"/>
      <c r="B27" s="27" t="s">
        <v>38</v>
      </c>
      <c r="C27" s="117">
        <f>IFERROR(GENNAIO!K93,0)</f>
        <v>286.90675</v>
      </c>
      <c r="D27" s="117">
        <f>IFERROR(FEBBRAIO!K93,0)</f>
        <v>94.70675</v>
      </c>
      <c r="E27" s="117">
        <f>IFERROR(MARZO!K93,0)</f>
        <v>492.4751</v>
      </c>
      <c r="F27" s="117">
        <f>IFERROR(APRILE!K93,0)</f>
        <v>700.82995</v>
      </c>
      <c r="G27" s="117">
        <f>IFERROR(MAGGIO!K93,0)</f>
        <v>94.70675</v>
      </c>
      <c r="H27" s="117">
        <f>IFERROR(GIUGNO!K93,0)</f>
        <v>0</v>
      </c>
      <c r="I27" s="117">
        <f>IFERROR(LUGLIO!K93,0)</f>
        <v>0</v>
      </c>
      <c r="J27" s="117">
        <f>IFERROR(AGOSTO!K93,0)</f>
        <v>0</v>
      </c>
      <c r="K27" s="117">
        <f>IFERROR(SETTEMBRE!K93,0)</f>
        <v>0</v>
      </c>
      <c r="L27" s="117">
        <f>IFERROR(OTTOBRE!K93,0)</f>
        <v>0</v>
      </c>
      <c r="M27" s="117">
        <f>IFERROR(NOVEMBRE!K93,0)</f>
        <v>0</v>
      </c>
      <c r="N27" s="117">
        <f>IFERROR(DICEMBRE!K93,0)</f>
        <v>0</v>
      </c>
      <c r="O27" s="118">
        <f t="shared" ref="O27:O30" si="4">SUM(C27:N27)</f>
        <v>1669.6253</v>
      </c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43"/>
      <c r="B28" s="27" t="s">
        <v>215</v>
      </c>
      <c r="C28" s="119">
        <f>IFERROR(GENNAIO!D78,0)</f>
        <v>1807.17</v>
      </c>
      <c r="D28" s="119">
        <f>IFERROR(FEBBRAIO!D78,0)</f>
        <v>1147.79</v>
      </c>
      <c r="E28" s="119">
        <f>IFERROR(MARZO!D78,0)</f>
        <v>1361.87</v>
      </c>
      <c r="F28" s="119">
        <f>IFERROR(APRILE!D78,0)</f>
        <v>754.9</v>
      </c>
      <c r="G28" s="119">
        <f>IFERROR(MAGGIO!D78,0)</f>
        <v>367.41</v>
      </c>
      <c r="H28" s="119">
        <f>IFERROR(GIUGNO!D78,0)</f>
        <v>0</v>
      </c>
      <c r="I28" s="119">
        <f>IFERROR(LUGLIO!D78,0)</f>
        <v>0</v>
      </c>
      <c r="J28" s="119">
        <f>IFERROR(AGOSTO!D78,0)</f>
        <v>0</v>
      </c>
      <c r="K28" s="119">
        <f>IFERROR(SETTEMBRE!D78,0)</f>
        <v>0</v>
      </c>
      <c r="L28" s="119">
        <f>IFERROR(OTTOBRE!D78,0)</f>
        <v>0</v>
      </c>
      <c r="M28" s="119">
        <f>IFERROR(NOVEMBRE!D78,0)</f>
        <v>0</v>
      </c>
      <c r="N28" s="119">
        <f>IFERROR(DICEMBRE!D78,0)</f>
        <v>0</v>
      </c>
      <c r="O28" s="120">
        <f t="shared" si="4"/>
        <v>5439.14</v>
      </c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43"/>
      <c r="B29" s="27" t="s">
        <v>216</v>
      </c>
      <c r="C29" s="119">
        <f>IFERROR(GENNAIO!K104,0)</f>
        <v>0</v>
      </c>
      <c r="D29" s="119">
        <f>IFERROR(FEBBRAIO!K104,0)</f>
        <v>0</v>
      </c>
      <c r="E29" s="119">
        <f>IFERROR(MARZO!K104,0)</f>
        <v>0</v>
      </c>
      <c r="F29" s="119">
        <f>IFERROR(APRILE!K104,0)</f>
        <v>0</v>
      </c>
      <c r="G29" s="119">
        <f>IFERROR(MAGGIO!K104,0)</f>
        <v>102.61</v>
      </c>
      <c r="H29" s="119">
        <f>IFERROR(GIUGNO!K104,0)</f>
        <v>20.61</v>
      </c>
      <c r="I29" s="119">
        <f>IFERROR(LUGLIO!K104,0)</f>
        <v>28.61</v>
      </c>
      <c r="J29" s="119">
        <f>IFERROR(AGOSTO!K104,0)</f>
        <v>28.61</v>
      </c>
      <c r="K29" s="119">
        <f>IFERROR(SETTEMBRE!K104,0)</f>
        <v>28.61</v>
      </c>
      <c r="L29" s="119">
        <f>IFERROR(OTTOBRE!K104,0)</f>
        <v>28.61</v>
      </c>
      <c r="M29" s="119">
        <f>IFERROR(NOVEMBRE!K104,0)</f>
        <v>28.61</v>
      </c>
      <c r="N29" s="119">
        <f>IFERROR(DICEMBRE!K104,0)</f>
        <v>28.61</v>
      </c>
      <c r="O29" s="120">
        <f t="shared" si="4"/>
        <v>294.88</v>
      </c>
      <c r="P29" s="43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43"/>
      <c r="B30" s="27" t="s">
        <v>40</v>
      </c>
      <c r="C30" s="117">
        <f>IFERROR(GENNAIO!C92,0)</f>
        <v>639.6465</v>
      </c>
      <c r="D30" s="117">
        <f>IFERROR(FEBBRAIO!C92,0)</f>
        <v>639.6465</v>
      </c>
      <c r="E30" s="117">
        <f>IFERROR(MARZO!C92,0)</f>
        <v>853.1598</v>
      </c>
      <c r="F30" s="117">
        <f>IFERROR(APRILE!C92,0)</f>
        <v>965.0001</v>
      </c>
      <c r="G30" s="117">
        <f>IFERROR(MAGGIO!C92,0)</f>
        <v>639.6465</v>
      </c>
      <c r="H30" s="117">
        <f>IFERROR(GIUGNO!C92,0)</f>
        <v>588.81</v>
      </c>
      <c r="I30" s="117">
        <f>IFERROR(LUGLIO!C92,0)</f>
        <v>588.81</v>
      </c>
      <c r="J30" s="117">
        <f>IFERROR(AGOSTO!C92,0)</f>
        <v>588.81</v>
      </c>
      <c r="K30" s="117">
        <f>IFERROR(SETTEMBRE!C92,0)</f>
        <v>588.81</v>
      </c>
      <c r="L30" s="117">
        <f>IFERROR(OTTOBRE!C92,0)</f>
        <v>588.81</v>
      </c>
      <c r="M30" s="117">
        <f>IFERROR(NOVEMBRE!C92,0)</f>
        <v>588.81</v>
      </c>
      <c r="N30" s="117">
        <f>IFERROR(DICEMBRE!C92,0)</f>
        <v>588.81</v>
      </c>
      <c r="O30" s="118">
        <f t="shared" si="4"/>
        <v>7858.7694</v>
      </c>
      <c r="P30" s="4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43"/>
      <c r="B31" s="116" t="s">
        <v>217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4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43"/>
      <c r="B32" s="27" t="s">
        <v>218</v>
      </c>
      <c r="C32" s="108">
        <f>IFERROR(GENNAIO!K93,0)+IFERROR(GENNAIO!K91,0)</f>
        <v>1836.90675</v>
      </c>
      <c r="D32" s="108">
        <f>IFERROR(FEBBRAIO!K93,0)+IFERROR(FEBBRAIO!K91,0)</f>
        <v>1544.70675</v>
      </c>
      <c r="E32" s="108">
        <f>IFERROR(MARZO!K93,0)+IFERROR(MARZO!K91,0)</f>
        <v>1942.4751</v>
      </c>
      <c r="F32" s="108">
        <f>IFERROR(APRILE!K93,0)+IFERROR(APRILE!K91,0)</f>
        <v>1838.82995</v>
      </c>
      <c r="G32" s="108">
        <f>IFERROR(MAGGIO!K93,0)+IFERROR(MAGGIO!K91,0)</f>
        <v>7152.70675</v>
      </c>
      <c r="H32" s="108">
        <f>IFERROR(GIUGNO!K93,0)+IFERROR(GIUGNO!K91,0)</f>
        <v>908</v>
      </c>
      <c r="I32" s="108">
        <f>IFERROR(LUGLIO!K93,0)+IFERROR(LUGLIO!K91,0)</f>
        <v>908</v>
      </c>
      <c r="J32" s="108">
        <f>IFERROR(AGOSTO!K93,0)+IFERROR(AGOSTO!K91,0)</f>
        <v>908</v>
      </c>
      <c r="K32" s="108">
        <f>IFERROR(SETTEMBRE!K93,0)+IFERROR(SETTEMBRE!K91,0)</f>
        <v>908</v>
      </c>
      <c r="L32" s="108">
        <f>IFERROR(OTTOBRE!K93,0)+IFERROR(OTTOBRE!K91,0)</f>
        <v>908</v>
      </c>
      <c r="M32" s="108">
        <f>IFERROR(NOVEMBRE!K93,0)+IFERROR(NOVEMBRE!K91,0)</f>
        <v>908</v>
      </c>
      <c r="N32" s="108">
        <f>IFERROR(DICEMBRE!K93,0)+IFERROR(DICEMBRE!K91,0)</f>
        <v>908</v>
      </c>
      <c r="O32" s="109">
        <f t="shared" ref="O32:O37" si="5">SUM(C32:N32)</f>
        <v>20671.6253</v>
      </c>
      <c r="P32" s="4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43"/>
      <c r="B33" s="27" t="s">
        <v>219</v>
      </c>
      <c r="C33" s="119">
        <f>SETUP!$C$6+IFERROR(GENNAIO!G29,0)</f>
        <v>435.1465</v>
      </c>
      <c r="D33" s="119">
        <f>SETUP!$C$6+IFERROR(FEBBRAIO!G29,0)</f>
        <v>435.1465</v>
      </c>
      <c r="E33" s="119">
        <f>SETUP!$C$6+IFERROR(MARZO!G29,0)</f>
        <v>648.6598</v>
      </c>
      <c r="F33" s="119">
        <f>SETUP!$C$6+IFERROR(APRILE!G29,0)</f>
        <v>760.5001</v>
      </c>
      <c r="G33" s="119">
        <f>SETUP!$C$6+IFERROR(MAGGIO!G29,0)</f>
        <v>435.1465</v>
      </c>
      <c r="H33" s="119">
        <f>SETUP!$C$6+IFERROR(GIUGNO!G29,0)</f>
        <v>384.31</v>
      </c>
      <c r="I33" s="119">
        <f>SETUP!$C$6+IFERROR(LUGLIO!G29,0)</f>
        <v>384.31</v>
      </c>
      <c r="J33" s="119">
        <f>SETUP!$C$6+IFERROR(AGOSTO!G29,0)</f>
        <v>384.31</v>
      </c>
      <c r="K33" s="119">
        <f>SETUP!$C$6+IFERROR(SETTEMBRE!G29,0)</f>
        <v>384.31</v>
      </c>
      <c r="L33" s="119">
        <f>SETUP!$C$6+IFERROR(OTTOBRE!G29,0)</f>
        <v>384.31</v>
      </c>
      <c r="M33" s="119">
        <f>SETUP!$C$6+IFERROR(NOVEMBRE!G29,0)</f>
        <v>384.31</v>
      </c>
      <c r="N33" s="119">
        <f>SETUP!$C$6+IFERROR(DICEMBRE!G29,0)</f>
        <v>384.31</v>
      </c>
      <c r="O33" s="120">
        <f t="shared" si="5"/>
        <v>5404.7694</v>
      </c>
      <c r="P33" s="4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43"/>
      <c r="B34" s="121" t="s">
        <v>220</v>
      </c>
      <c r="C34" s="118">
        <f t="shared" ref="C34:N34" si="6">C32-C33</f>
        <v>1401.76025</v>
      </c>
      <c r="D34" s="118">
        <f t="shared" si="6"/>
        <v>1109.56025</v>
      </c>
      <c r="E34" s="118">
        <f t="shared" si="6"/>
        <v>1293.8153</v>
      </c>
      <c r="F34" s="118">
        <f t="shared" si="6"/>
        <v>1078.32985</v>
      </c>
      <c r="G34" s="118">
        <f t="shared" si="6"/>
        <v>6717.56025</v>
      </c>
      <c r="H34" s="118">
        <f t="shared" si="6"/>
        <v>523.69</v>
      </c>
      <c r="I34" s="118">
        <f t="shared" si="6"/>
        <v>523.69</v>
      </c>
      <c r="J34" s="118">
        <f t="shared" si="6"/>
        <v>523.69</v>
      </c>
      <c r="K34" s="118">
        <f t="shared" si="6"/>
        <v>523.69</v>
      </c>
      <c r="L34" s="118">
        <f t="shared" si="6"/>
        <v>523.69</v>
      </c>
      <c r="M34" s="118">
        <f t="shared" si="6"/>
        <v>523.69</v>
      </c>
      <c r="N34" s="118">
        <f t="shared" si="6"/>
        <v>523.69</v>
      </c>
      <c r="O34" s="118">
        <f t="shared" si="5"/>
        <v>15266.8559</v>
      </c>
      <c r="P34" s="4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43"/>
      <c r="B35" s="121" t="s">
        <v>221</v>
      </c>
      <c r="C35" s="118">
        <f>IFERROR(GENNAIO!B4,0)</f>
        <v>-609.90975</v>
      </c>
      <c r="D35" s="118">
        <f>IFERROR(FEBBRAIO!B4,0)</f>
        <v>-242.72975</v>
      </c>
      <c r="E35" s="118">
        <f>IFERROR(MARZO!B4,0)</f>
        <v>-272.5547</v>
      </c>
      <c r="F35" s="118">
        <f>IFERROR(APRILE!B4,0)</f>
        <v>118.92985</v>
      </c>
      <c r="G35" s="118">
        <f>IFERROR(MAGGIO!B4,0)</f>
        <v>6145.65025</v>
      </c>
      <c r="H35" s="118">
        <f>IFERROR(GIUGNO!B4,0)</f>
        <v>319.19</v>
      </c>
      <c r="I35" s="118">
        <f>IFERROR(LUGLIO!B4,0)</f>
        <v>319.19</v>
      </c>
      <c r="J35" s="118">
        <f>IFERROR(AGOSTO!B4,0)</f>
        <v>319.19</v>
      </c>
      <c r="K35" s="118">
        <f>IFERROR(SETTEMBRE!B4,0)</f>
        <v>319.19</v>
      </c>
      <c r="L35" s="118">
        <f>IFERROR(OTTOBRE!B4,0)</f>
        <v>319.19</v>
      </c>
      <c r="M35" s="118">
        <f>IFERROR(NOVEMBRE!B4,0)</f>
        <v>319.19</v>
      </c>
      <c r="N35" s="118">
        <f>IFERROR(DICEMBRE!B4,0)</f>
        <v>319.19</v>
      </c>
      <c r="O35" s="118">
        <f t="shared" si="5"/>
        <v>7373.7159</v>
      </c>
      <c r="P35" s="43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43"/>
      <c r="B36" s="27" t="s">
        <v>222</v>
      </c>
      <c r="C36" s="122">
        <f>IFERROR(GENNAIO!K105,0)</f>
        <v>450</v>
      </c>
      <c r="D36" s="122">
        <f>IFERROR(FEBBRAIO!K105,0)</f>
        <v>250</v>
      </c>
      <c r="E36" s="122">
        <f>IFERROR(MARZO!K105,0)</f>
        <v>1300</v>
      </c>
      <c r="F36" s="122">
        <f>IFERROR(APRILE!K105,0)</f>
        <v>3350</v>
      </c>
      <c r="G36" s="122">
        <f>IFERROR(MAGGIO!K105,0)</f>
        <v>2197.39</v>
      </c>
      <c r="H36" s="122">
        <f>IFERROR(GIUGNO!K105,0)</f>
        <v>3429.39</v>
      </c>
      <c r="I36" s="122">
        <f>IFERROR(LUGLIO!K105,0)</f>
        <v>2471.39</v>
      </c>
      <c r="J36" s="122">
        <f>IFERROR(AGOSTO!K105,0)</f>
        <v>2471.39</v>
      </c>
      <c r="K36" s="122">
        <f>IFERROR(SETTEMBRE!K105,0)</f>
        <v>1821.39</v>
      </c>
      <c r="L36" s="122">
        <f>IFERROR(OTTOBRE!K105,0)</f>
        <v>721.39</v>
      </c>
      <c r="M36" s="122">
        <f>IFERROR(NOVEMBRE!K105,0)</f>
        <v>721.39</v>
      </c>
      <c r="N36" s="122">
        <f>IFERROR(DICEMBRE!K105,0)</f>
        <v>721.39</v>
      </c>
      <c r="O36" s="123">
        <f t="shared" si="5"/>
        <v>19905.12</v>
      </c>
      <c r="P36" s="43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43"/>
      <c r="B37" s="27" t="s">
        <v>223</v>
      </c>
      <c r="C37" s="124">
        <f>IFERROR(GENNAIO!K97,0)</f>
        <v>-1.355355</v>
      </c>
      <c r="D37" s="124">
        <f>IFERROR(FEBBRAIO!K97,0)</f>
        <v>-0.970919</v>
      </c>
      <c r="E37" s="124">
        <f>IFERROR(MARZO!K97,0)</f>
        <v>-0.2096574615</v>
      </c>
      <c r="F37" s="124">
        <f>IFERROR(APRILE!K97,0)</f>
        <v>0.06428640541</v>
      </c>
      <c r="G37" s="124">
        <f>IFERROR(MAGGIO!K97,0)</f>
        <v>24.582601</v>
      </c>
      <c r="H37" s="124">
        <f>IFERROR(GIUGNO!K97,0)</f>
        <v>0</v>
      </c>
      <c r="I37" s="124">
        <f>IFERROR(LUGLIO!K97,0)</f>
        <v>0</v>
      </c>
      <c r="J37" s="124">
        <f>IFERROR(AGOSTO!K97,0)</f>
        <v>0</v>
      </c>
      <c r="K37" s="124">
        <f>IFERROR(SETTEMBRE!K97,0)</f>
        <v>0</v>
      </c>
      <c r="L37" s="124">
        <f>IFERROR(OTTOBRE!K97,0)</f>
        <v>0</v>
      </c>
      <c r="M37" s="124">
        <f>IFERROR(NOVEMBRE!K97,0)</f>
        <v>0</v>
      </c>
      <c r="N37" s="124">
        <f>IFERROR(DICEMBRE!K97,0)</f>
        <v>0</v>
      </c>
      <c r="O37" s="125">
        <f t="shared" si="5"/>
        <v>22.11095594</v>
      </c>
      <c r="P37" s="4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"/>
      <c r="B38" s="126" t="s">
        <v>224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"/>
      <c r="B39" s="24" t="s">
        <v>44</v>
      </c>
      <c r="C39" s="26" t="s">
        <v>201</v>
      </c>
      <c r="D39" s="26" t="s">
        <v>202</v>
      </c>
      <c r="E39" s="26" t="s">
        <v>203</v>
      </c>
      <c r="F39" s="26" t="s">
        <v>204</v>
      </c>
      <c r="G39" s="26" t="s">
        <v>205</v>
      </c>
      <c r="H39" s="26" t="s">
        <v>206</v>
      </c>
      <c r="I39" s="26" t="s">
        <v>207</v>
      </c>
      <c r="J39" s="26" t="s">
        <v>208</v>
      </c>
      <c r="K39" s="26" t="s">
        <v>209</v>
      </c>
      <c r="L39" s="26" t="s">
        <v>210</v>
      </c>
      <c r="M39" s="26" t="s">
        <v>211</v>
      </c>
      <c r="N39" s="26" t="s">
        <v>212</v>
      </c>
      <c r="O39" s="127" t="s">
        <v>213</v>
      </c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1"/>
      <c r="B40" s="62" t="str">
        <f>SETUP!$B$18</f>
        <v>SVAGO</v>
      </c>
      <c r="C40" s="128">
        <f t="shared" ref="C40:C54" si="7">IFERROR(SUMIFS(INDIRECT("GENNAIO!D33:D77"),INDIRECT("GENNAIO!B33:B77"),$B40,INDIRECT("GENNAIO!F33:F77"),"&lt;&gt;NO"),0)</f>
        <v>437.6</v>
      </c>
      <c r="D40" s="128">
        <f>IFERROR(SUMIFS(FEBBRAIO!$D$33:$D$77,FEBBRAIO!$B$33:$B$77,$B40,FEBBRAIO!$F$33:$F$77,"&lt;&gt;NO"),0)</f>
        <v>226.4</v>
      </c>
      <c r="E40" s="128">
        <f>IFERROR(SUMIFS(MARZO!$D$33:$D$77,MARZO!$B$33:$B$77,$B40,MARZO!$F$33:$F$77,"&lt;&gt;NO"),0)</f>
        <v>606.2</v>
      </c>
      <c r="F40" s="128">
        <f>IFERROR(SUMIFS(APRILE!$D$33:$D$77,APRILE!$B$33:$B$77,$B40,APRILE!$F$33:$F$77,"&lt;&gt;NO"),0)</f>
        <v>524.8</v>
      </c>
      <c r="G40" s="128">
        <f>IFERROR(SUMIFS(MAGGIO!$D$33:$D$77,MAGGIO!$B$33:$B$77,$B40,MAGGIO!$F$33:$F$77,"&lt;&gt;NO"),0)</f>
        <v>138.3</v>
      </c>
      <c r="H40" s="128">
        <f>IFERROR(SUMIFS(GIUGNO!$D$33:$D$77,GIUGNO!$B$33:$B$77,$B40,GIUGNO!$F$33:$F$77,"&lt;&gt;NO"),0)</f>
        <v>0</v>
      </c>
      <c r="I40" s="128">
        <f>IFERROR(SUMIFS(LUGLIO!$D$33:$D$77,LUGLIO!$B$33:$B$77,$B40,LUGLIO!$F$33:$F$77,"&lt;&gt;NO"),0)</f>
        <v>0</v>
      </c>
      <c r="J40" s="128">
        <f>IFERROR(SUMIFS(AGOSTO!$D$33:$D$77,AGOSTO!$B$33:$B$77,$B40,AGOSTO!$F$33:$F$77,"&lt;&gt;NO"),0)</f>
        <v>0</v>
      </c>
      <c r="K40" s="128">
        <f>IFERROR(SUMIFS(SETTEMBRE!$D$33:$D$77,SETTEMBRE!$B$33:$B$77,$B40,SETTEMBRE!$F$33:$F$77,"&lt;&gt;NO"),0)</f>
        <v>0</v>
      </c>
      <c r="L40" s="128">
        <f>IFERROR(SUMIFS(OTTOBRE!$D$33:$D$77,OTTOBRE!$B$33:$B$77,$B40,OTTOBRE!$F$33:$F$77,"&lt;&gt;NO"),0)</f>
        <v>0</v>
      </c>
      <c r="M40" s="128">
        <f>IFERROR(SUMIFS(NOVEMBRE!$D$33:$D$77,NOVEMBRE!$B$33:$B$77,$B40,NOVEMBRE!$F$33:$F$77,"&lt;&gt;NO"),0)</f>
        <v>0</v>
      </c>
      <c r="N40" s="128">
        <f>IFERROR(SUMIFS(DICEMBRE!$D$33:$D$77,DICEMBRE!$B$33:$B$77,$B40,DICEMBRE!$F$33:$F$77,"&lt;&gt;NO"),0)</f>
        <v>0</v>
      </c>
      <c r="O40" s="129">
        <f t="shared" ref="O40:O54" si="8">SUM(C40:N40)</f>
        <v>1933.3</v>
      </c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"/>
      <c r="B41" s="62" t="str">
        <f>SETUP!$B$19</f>
        <v>BUSINESS</v>
      </c>
      <c r="C41" s="128">
        <f t="shared" si="7"/>
        <v>88.61</v>
      </c>
      <c r="D41" s="128">
        <f>IFERROR(SUMIFS(FEBBRAIO!$D$33:$D$77,FEBBRAIO!$B$33:$B$77,$B41,FEBBRAIO!$F$33:$F$77,"&lt;&gt;NO"),0)</f>
        <v>825.99</v>
      </c>
      <c r="E41" s="128">
        <f>IFERROR(SUMIFS(MARZO!$D$33:$D$77,MARZO!$B$33:$B$77,$B41,MARZO!$F$33:$F$77,"&lt;&gt;NO"),0)</f>
        <v>565.67</v>
      </c>
      <c r="F41" s="128">
        <f>IFERROR(SUMIFS(APRILE!$D$33:$D$77,APRILE!$B$33:$B$77,$B41,APRILE!$F$33:$F$77,"&lt;&gt;NO"),0)</f>
        <v>164.25</v>
      </c>
      <c r="G41" s="128">
        <f>IFERROR(SUMIFS(MAGGIO!$D$33:$D$77,MAGGIO!$B$33:$B$77,$B41,MAGGIO!$F$33:$F$77,"&lt;&gt;NO"),0)</f>
        <v>95.47</v>
      </c>
      <c r="H41" s="128">
        <f>IFERROR(SUMIFS(GIUGNO!$D$33:$D$77,GIUGNO!$B$33:$B$77,$B41,GIUGNO!$F$33:$F$77,"&lt;&gt;NO"),0)</f>
        <v>20.61</v>
      </c>
      <c r="I41" s="128">
        <f>IFERROR(SUMIFS(LUGLIO!$D$33:$D$77,LUGLIO!$B$33:$B$77,$B41,LUGLIO!$F$33:$F$77,"&lt;&gt;NO"),0)</f>
        <v>28.61</v>
      </c>
      <c r="J41" s="128">
        <f>IFERROR(SUMIFS(AGOSTO!$D$33:$D$77,AGOSTO!$B$33:$B$77,$B41,AGOSTO!$F$33:$F$77,"&lt;&gt;NO"),0)</f>
        <v>28.61</v>
      </c>
      <c r="K41" s="128">
        <f>IFERROR(SUMIFS(SETTEMBRE!$D$33:$D$77,SETTEMBRE!$B$33:$B$77,$B41,SETTEMBRE!$F$33:$F$77,"&lt;&gt;NO"),0)</f>
        <v>28.61</v>
      </c>
      <c r="L41" s="128">
        <f>IFERROR(SUMIFS(OTTOBRE!$D$33:$D$77,OTTOBRE!$B$33:$B$77,$B41,OTTOBRE!$F$33:$F$77,"&lt;&gt;NO"),0)</f>
        <v>28.61</v>
      </c>
      <c r="M41" s="128">
        <f>IFERROR(SUMIFS(NOVEMBRE!$D$33:$D$77,NOVEMBRE!$B$33:$B$77,$B41,NOVEMBRE!$F$33:$F$77,"&lt;&gt;NO"),0)</f>
        <v>28.61</v>
      </c>
      <c r="N41" s="128">
        <f>IFERROR(SUMIFS(DICEMBRE!$D$33:$D$77,DICEMBRE!$B$33:$B$77,$B41,DICEMBRE!$F$33:$F$77,"&lt;&gt;NO"),0)</f>
        <v>28.61</v>
      </c>
      <c r="O41" s="129">
        <f t="shared" si="8"/>
        <v>1932.26</v>
      </c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"/>
      <c r="B42" s="62" t="str">
        <f>SETUP!$B$20</f>
        <v>OBBLIGATORIE</v>
      </c>
      <c r="C42" s="128">
        <f t="shared" si="7"/>
        <v>0</v>
      </c>
      <c r="D42" s="128">
        <f>IFERROR(SUMIFS(FEBBRAIO!$D$33:$D$77,FEBBRAIO!$B$33:$B$77,$B42,FEBBRAIO!$F$33:$F$77,"&lt;&gt;NO"),0)</f>
        <v>25</v>
      </c>
      <c r="E42" s="128">
        <f>IFERROR(SUMIFS(MARZO!$D$33:$D$77,MARZO!$B$33:$B$77,$B42,MARZO!$F$33:$F$77,"&lt;&gt;NO"),0)</f>
        <v>0</v>
      </c>
      <c r="F42" s="128">
        <f>IFERROR(SUMIFS(APRILE!$D$33:$D$77,APRILE!$B$33:$B$77,$B42,APRILE!$F$33:$F$77,"&lt;&gt;NO"),0)</f>
        <v>0</v>
      </c>
      <c r="G42" s="128">
        <f>IFERROR(SUMIFS(MAGGIO!$D$33:$D$77,MAGGIO!$B$33:$B$77,$B42,MAGGIO!$F$33:$F$77,"&lt;&gt;NO"),0)</f>
        <v>0</v>
      </c>
      <c r="H42" s="128">
        <f>IFERROR(SUMIFS(GIUGNO!$D$33:$D$77,GIUGNO!$B$33:$B$77,$B42,GIUGNO!$F$33:$F$77,"&lt;&gt;NO"),0)</f>
        <v>0</v>
      </c>
      <c r="I42" s="128">
        <f>IFERROR(SUMIFS(LUGLIO!$D$33:$D$77,LUGLIO!$B$33:$B$77,$B42,LUGLIO!$F$33:$F$77,"&lt;&gt;NO"),0)</f>
        <v>0</v>
      </c>
      <c r="J42" s="128">
        <f>IFERROR(SUMIFS(AGOSTO!$D$33:$D$77,AGOSTO!$B$33:$B$77,$B42,AGOSTO!$F$33:$F$77,"&lt;&gt;NO"),0)</f>
        <v>0</v>
      </c>
      <c r="K42" s="128">
        <f>IFERROR(SUMIFS(SETTEMBRE!$D$33:$D$77,SETTEMBRE!$B$33:$B$77,$B42,SETTEMBRE!$F$33:$F$77,"&lt;&gt;NO"),0)</f>
        <v>0</v>
      </c>
      <c r="L42" s="128">
        <f>IFERROR(SUMIFS(OTTOBRE!$D$33:$D$77,OTTOBRE!$B$33:$B$77,$B42,OTTOBRE!$F$33:$F$77,"&lt;&gt;NO"),0)</f>
        <v>0</v>
      </c>
      <c r="M42" s="128">
        <f>IFERROR(SUMIFS(NOVEMBRE!$D$33:$D$77,NOVEMBRE!$B$33:$B$77,$B42,NOVEMBRE!$F$33:$F$77,"&lt;&gt;NO"),0)</f>
        <v>0</v>
      </c>
      <c r="N42" s="128">
        <f>IFERROR(SUMIFS(DICEMBRE!$D$33:$D$77,DICEMBRE!$B$33:$B$77,$B42,DICEMBRE!$F$33:$F$77,"&lt;&gt;NO"),0)</f>
        <v>0</v>
      </c>
      <c r="O42" s="129">
        <f t="shared" si="8"/>
        <v>25</v>
      </c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1"/>
      <c r="B43" s="62" t="str">
        <f>SETUP!$B$21</f>
        <v>AUTO</v>
      </c>
      <c r="C43" s="128">
        <f t="shared" si="7"/>
        <v>1280.96</v>
      </c>
      <c r="D43" s="128">
        <f>IFERROR(SUMIFS(FEBBRAIO!$D$33:$D$77,FEBBRAIO!$B$33:$B$77,$B43,FEBBRAIO!$F$33:$F$77,"&lt;&gt;NO"),0)</f>
        <v>60</v>
      </c>
      <c r="E43" s="128">
        <f>IFERROR(SUMIFS(MARZO!$D$33:$D$77,MARZO!$B$33:$B$77,$B43,MARZO!$F$33:$F$77,"&lt;&gt;NO"),0)</f>
        <v>190</v>
      </c>
      <c r="F43" s="128">
        <f>IFERROR(SUMIFS(APRILE!$D$33:$D$77,APRILE!$B$33:$B$77,$B43,APRILE!$F$33:$F$77,"&lt;&gt;NO"),0)</f>
        <v>65.85</v>
      </c>
      <c r="G43" s="128">
        <f>IFERROR(SUMIFS(MAGGIO!$D$33:$D$77,MAGGIO!$B$33:$B$77,$B43,MAGGIO!$F$33:$F$77,"&lt;&gt;NO"),0)</f>
        <v>151.25</v>
      </c>
      <c r="H43" s="128">
        <f>IFERROR(SUMIFS(GIUGNO!$D$33:$D$77,GIUGNO!$B$33:$B$77,$B43,GIUGNO!$F$33:$F$77,"&lt;&gt;NO"),0)</f>
        <v>0</v>
      </c>
      <c r="I43" s="128">
        <f>IFERROR(SUMIFS(LUGLIO!$D$33:$D$77,LUGLIO!$B$33:$B$77,$B43,LUGLIO!$F$33:$F$77,"&lt;&gt;NO"),0)</f>
        <v>0</v>
      </c>
      <c r="J43" s="128">
        <f>IFERROR(SUMIFS(AGOSTO!$D$33:$D$77,AGOSTO!$B$33:$B$77,$B43,AGOSTO!$F$33:$F$77,"&lt;&gt;NO"),0)</f>
        <v>0</v>
      </c>
      <c r="K43" s="128">
        <f>IFERROR(SUMIFS(SETTEMBRE!$D$33:$D$77,SETTEMBRE!$B$33:$B$77,$B43,SETTEMBRE!$F$33:$F$77,"&lt;&gt;NO"),0)</f>
        <v>0</v>
      </c>
      <c r="L43" s="128">
        <f>IFERROR(SUMIFS(OTTOBRE!$D$33:$D$77,OTTOBRE!$B$33:$B$77,$B43,OTTOBRE!$F$33:$F$77,"&lt;&gt;NO"),0)</f>
        <v>0</v>
      </c>
      <c r="M43" s="128">
        <f>IFERROR(SUMIFS(NOVEMBRE!$D$33:$D$77,NOVEMBRE!$B$33:$B$77,$B43,NOVEMBRE!$F$33:$F$77,"&lt;&gt;NO"),0)</f>
        <v>0</v>
      </c>
      <c r="N43" s="128">
        <f>IFERROR(SUMIFS(DICEMBRE!$D$33:$D$77,DICEMBRE!$B$33:$B$77,$B43,DICEMBRE!$F$33:$F$77,"&lt;&gt;NO"),0)</f>
        <v>0</v>
      </c>
      <c r="O43" s="129">
        <f t="shared" si="8"/>
        <v>1748.06</v>
      </c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1"/>
      <c r="B44" s="62" t="str">
        <f>SETUP!$B$22</f>
        <v>CASA</v>
      </c>
      <c r="C44" s="128">
        <f t="shared" si="7"/>
        <v>0</v>
      </c>
      <c r="D44" s="128">
        <f>IFERROR(SUMIFS(FEBBRAIO!$D$33:$D$77,FEBBRAIO!$B$33:$B$77,$B44,FEBBRAIO!$F$33:$F$77,"&lt;&gt;NO"),0)</f>
        <v>0</v>
      </c>
      <c r="E44" s="128">
        <f>IFERROR(SUMIFS(MARZO!$D$33:$D$77,MARZO!$B$33:$B$77,$B44,MARZO!$F$33:$F$77,"&lt;&gt;NO"),0)</f>
        <v>0</v>
      </c>
      <c r="F44" s="128">
        <f>IFERROR(SUMIFS(APRILE!$D$33:$D$77,APRILE!$B$33:$B$77,$B44,APRILE!$F$33:$F$77,"&lt;&gt;NO"),0)</f>
        <v>0</v>
      </c>
      <c r="G44" s="128">
        <f>IFERROR(SUMIFS(MAGGIO!$D$33:$D$77,MAGGIO!$B$33:$B$77,$B44,MAGGIO!$F$33:$F$77,"&lt;&gt;NO"),0)</f>
        <v>0</v>
      </c>
      <c r="H44" s="128">
        <f>IFERROR(SUMIFS(GIUGNO!$D$33:$D$77,GIUGNO!$B$33:$B$77,$B44,GIUGNO!$F$33:$F$77,"&lt;&gt;NO"),0)</f>
        <v>0</v>
      </c>
      <c r="I44" s="128">
        <f>IFERROR(SUMIFS(LUGLIO!$D$33:$D$77,LUGLIO!$B$33:$B$77,$B44,LUGLIO!$F$33:$F$77,"&lt;&gt;NO"),0)</f>
        <v>0</v>
      </c>
      <c r="J44" s="128">
        <f>IFERROR(SUMIFS(AGOSTO!$D$33:$D$77,AGOSTO!$B$33:$B$77,$B44,AGOSTO!$F$33:$F$77,"&lt;&gt;NO"),0)</f>
        <v>0</v>
      </c>
      <c r="K44" s="128">
        <f>IFERROR(SUMIFS(SETTEMBRE!$D$33:$D$77,SETTEMBRE!$B$33:$B$77,$B44,SETTEMBRE!$F$33:$F$77,"&lt;&gt;NO"),0)</f>
        <v>0</v>
      </c>
      <c r="L44" s="128">
        <f>IFERROR(SUMIFS(OTTOBRE!$D$33:$D$77,OTTOBRE!$B$33:$B$77,$B44,OTTOBRE!$F$33:$F$77,"&lt;&gt;NO"),0)</f>
        <v>0</v>
      </c>
      <c r="M44" s="128">
        <f>IFERROR(SUMIFS(NOVEMBRE!$D$33:$D$77,NOVEMBRE!$B$33:$B$77,$B44,NOVEMBRE!$F$33:$F$77,"&lt;&gt;NO"),0)</f>
        <v>0</v>
      </c>
      <c r="N44" s="128">
        <f>IFERROR(SUMIFS(DICEMBRE!$D$33:$D$77,DICEMBRE!$B$33:$B$77,$B44,DICEMBRE!$F$33:$F$77,"&lt;&gt;NO"),0)</f>
        <v>0</v>
      </c>
      <c r="O44" s="129">
        <f t="shared" si="8"/>
        <v>0</v>
      </c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"/>
      <c r="B45" s="62" t="str">
        <f>SETUP!$B$23</f>
        <v>ALIMENTARI</v>
      </c>
      <c r="C45" s="128">
        <f t="shared" si="7"/>
        <v>0</v>
      </c>
      <c r="D45" s="128">
        <f>IFERROR(SUMIFS(FEBBRAIO!$D$33:$D$77,FEBBRAIO!$B$33:$B$77,$B45,FEBBRAIO!$F$33:$F$77,"&lt;&gt;NO"),0)</f>
        <v>0</v>
      </c>
      <c r="E45" s="128">
        <f>IFERROR(SUMIFS(MARZO!$D$33:$D$77,MARZO!$B$33:$B$77,$B45,MARZO!$F$33:$F$77,"&lt;&gt;NO"),0)</f>
        <v>0</v>
      </c>
      <c r="F45" s="128">
        <f>IFERROR(SUMIFS(APRILE!$D$33:$D$77,APRILE!$B$33:$B$77,$B45,APRILE!$F$33:$F$77,"&lt;&gt;NO"),0)</f>
        <v>0</v>
      </c>
      <c r="G45" s="128">
        <f>IFERROR(SUMIFS(MAGGIO!$D$33:$D$77,MAGGIO!$B$33:$B$77,$B45,MAGGIO!$F$33:$F$77,"&lt;&gt;NO"),0)</f>
        <v>0</v>
      </c>
      <c r="H45" s="128">
        <f>IFERROR(SUMIFS(GIUGNO!$D$33:$D$77,GIUGNO!$B$33:$B$77,$B45,GIUGNO!$F$33:$F$77,"&lt;&gt;NO"),0)</f>
        <v>0</v>
      </c>
      <c r="I45" s="128">
        <f>IFERROR(SUMIFS(LUGLIO!$D$33:$D$77,LUGLIO!$B$33:$B$77,$B45,LUGLIO!$F$33:$F$77,"&lt;&gt;NO"),0)</f>
        <v>0</v>
      </c>
      <c r="J45" s="128">
        <f>IFERROR(SUMIFS(AGOSTO!$D$33:$D$77,AGOSTO!$B$33:$B$77,$B45,AGOSTO!$F$33:$F$77,"&lt;&gt;NO"),0)</f>
        <v>0</v>
      </c>
      <c r="K45" s="128">
        <f>IFERROR(SUMIFS(SETTEMBRE!$D$33:$D$77,SETTEMBRE!$B$33:$B$77,$B45,SETTEMBRE!$F$33:$F$77,"&lt;&gt;NO"),0)</f>
        <v>0</v>
      </c>
      <c r="L45" s="128">
        <f>IFERROR(SUMIFS(OTTOBRE!$D$33:$D$77,OTTOBRE!$B$33:$B$77,$B45,OTTOBRE!$F$33:$F$77,"&lt;&gt;NO"),0)</f>
        <v>0</v>
      </c>
      <c r="M45" s="128">
        <f>IFERROR(SUMIFS(NOVEMBRE!$D$33:$D$77,NOVEMBRE!$B$33:$B$77,$B45,NOVEMBRE!$F$33:$F$77,"&lt;&gt;NO"),0)</f>
        <v>0</v>
      </c>
      <c r="N45" s="128">
        <f>IFERROR(SUMIFS(DICEMBRE!$D$33:$D$77,DICEMBRE!$B$33:$B$77,$B45,DICEMBRE!$F$33:$F$77,"&lt;&gt;NO"),0)</f>
        <v>0</v>
      </c>
      <c r="O45" s="129">
        <f t="shared" si="8"/>
        <v>0</v>
      </c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"/>
      <c r="B46" s="62" t="str">
        <f>SETUP!$B$24</f>
        <v>SALUTE</v>
      </c>
      <c r="C46" s="128">
        <f t="shared" si="7"/>
        <v>0</v>
      </c>
      <c r="D46" s="128">
        <f>IFERROR(SUMIFS(FEBBRAIO!$D$33:$D$77,FEBBRAIO!$B$33:$B$77,$B46,FEBBRAIO!$F$33:$F$77,"&lt;&gt;NO"),0)</f>
        <v>10.4</v>
      </c>
      <c r="E46" s="128">
        <f>IFERROR(SUMIFS(MARZO!$D$33:$D$77,MARZO!$B$33:$B$77,$B46,MARZO!$F$33:$F$77,"&lt;&gt;NO"),0)</f>
        <v>0</v>
      </c>
      <c r="F46" s="128">
        <f>IFERROR(SUMIFS(APRILE!$D$33:$D$77,APRILE!$B$33:$B$77,$B46,APRILE!$F$33:$F$77,"&lt;&gt;NO"),0)</f>
        <v>0</v>
      </c>
      <c r="G46" s="128">
        <f>IFERROR(SUMIFS(MAGGIO!$D$33:$D$77,MAGGIO!$B$33:$B$77,$B46,MAGGIO!$F$33:$F$77,"&lt;&gt;NO"),0)</f>
        <v>0</v>
      </c>
      <c r="H46" s="128">
        <f>IFERROR(SUMIFS(GIUGNO!$D$33:$D$77,GIUGNO!$B$33:$B$77,$B46,GIUGNO!$F$33:$F$77,"&lt;&gt;NO"),0)</f>
        <v>0</v>
      </c>
      <c r="I46" s="128">
        <f>IFERROR(SUMIFS(LUGLIO!$D$33:$D$77,LUGLIO!$B$33:$B$77,$B46,LUGLIO!$F$33:$F$77,"&lt;&gt;NO"),0)</f>
        <v>0</v>
      </c>
      <c r="J46" s="128">
        <f>IFERROR(SUMIFS(AGOSTO!$D$33:$D$77,AGOSTO!$B$33:$B$77,$B46,AGOSTO!$F$33:$F$77,"&lt;&gt;NO"),0)</f>
        <v>0</v>
      </c>
      <c r="K46" s="128">
        <f>IFERROR(SUMIFS(SETTEMBRE!$D$33:$D$77,SETTEMBRE!$B$33:$B$77,$B46,SETTEMBRE!$F$33:$F$77,"&lt;&gt;NO"),0)</f>
        <v>0</v>
      </c>
      <c r="L46" s="128">
        <f>IFERROR(SUMIFS(OTTOBRE!$D$33:$D$77,OTTOBRE!$B$33:$B$77,$B46,OTTOBRE!$F$33:$F$77,"&lt;&gt;NO"),0)</f>
        <v>0</v>
      </c>
      <c r="M46" s="128">
        <f>IFERROR(SUMIFS(NOVEMBRE!$D$33:$D$77,NOVEMBRE!$B$33:$B$77,$B46,NOVEMBRE!$F$33:$F$77,"&lt;&gt;NO"),0)</f>
        <v>0</v>
      </c>
      <c r="N46" s="128">
        <f>IFERROR(SUMIFS(DICEMBRE!$D$33:$D$77,DICEMBRE!$B$33:$B$77,$B46,DICEMBRE!$F$33:$F$77,"&lt;&gt;NO"),0)</f>
        <v>0</v>
      </c>
      <c r="O46" s="129">
        <f t="shared" si="8"/>
        <v>10.4</v>
      </c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"/>
      <c r="B47" s="62" t="str">
        <f>SETUP!$B$25</f>
        <v>FORMAZIONE</v>
      </c>
      <c r="C47" s="128">
        <f t="shared" si="7"/>
        <v>0</v>
      </c>
      <c r="D47" s="128">
        <f>IFERROR(SUMIFS(FEBBRAIO!$D$33:$D$77,FEBBRAIO!$B$33:$B$77,$B47,FEBBRAIO!$F$33:$F$77,"&lt;&gt;NO"),0)</f>
        <v>0</v>
      </c>
      <c r="E47" s="128">
        <f>IFERROR(SUMIFS(MARZO!$D$33:$D$77,MARZO!$B$33:$B$77,$B47,MARZO!$F$33:$F$77,"&lt;&gt;NO"),0)</f>
        <v>0</v>
      </c>
      <c r="F47" s="128">
        <f>IFERROR(SUMIFS(APRILE!$D$33:$D$77,APRILE!$B$33:$B$77,$B47,APRILE!$F$33:$F$77,"&lt;&gt;NO"),0)</f>
        <v>0</v>
      </c>
      <c r="G47" s="128">
        <f>IFERROR(SUMIFS(MAGGIO!$D$33:$D$77,MAGGIO!$B$33:$B$77,$B47,MAGGIO!$F$33:$F$77,"&lt;&gt;NO"),0)</f>
        <v>0</v>
      </c>
      <c r="H47" s="128">
        <f>IFERROR(SUMIFS(GIUGNO!$D$33:$D$77,GIUGNO!$B$33:$B$77,$B47,GIUGNO!$F$33:$F$77,"&lt;&gt;NO"),0)</f>
        <v>0</v>
      </c>
      <c r="I47" s="128">
        <f>IFERROR(SUMIFS(LUGLIO!$D$33:$D$77,LUGLIO!$B$33:$B$77,$B47,LUGLIO!$F$33:$F$77,"&lt;&gt;NO"),0)</f>
        <v>0</v>
      </c>
      <c r="J47" s="128">
        <f>IFERROR(SUMIFS(AGOSTO!$D$33:$D$77,AGOSTO!$B$33:$B$77,$B47,AGOSTO!$F$33:$F$77,"&lt;&gt;NO"),0)</f>
        <v>0</v>
      </c>
      <c r="K47" s="128">
        <f>IFERROR(SUMIFS(SETTEMBRE!$D$33:$D$77,SETTEMBRE!$B$33:$B$77,$B47,SETTEMBRE!$F$33:$F$77,"&lt;&gt;NO"),0)</f>
        <v>0</v>
      </c>
      <c r="L47" s="128">
        <f>IFERROR(SUMIFS(OTTOBRE!$D$33:$D$77,OTTOBRE!$B$33:$B$77,$B47,OTTOBRE!$F$33:$F$77,"&lt;&gt;NO"),0)</f>
        <v>0</v>
      </c>
      <c r="M47" s="128">
        <f>IFERROR(SUMIFS(NOVEMBRE!$D$33:$D$77,NOVEMBRE!$B$33:$B$77,$B47,NOVEMBRE!$F$33:$F$77,"&lt;&gt;NO"),0)</f>
        <v>0</v>
      </c>
      <c r="N47" s="128">
        <f>IFERROR(SUMIFS(DICEMBRE!$D$33:$D$77,DICEMBRE!$B$33:$B$77,$B47,DICEMBRE!$F$33:$F$77,"&lt;&gt;NO"),0)</f>
        <v>0</v>
      </c>
      <c r="O47" s="129">
        <f t="shared" si="8"/>
        <v>0</v>
      </c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"/>
      <c r="B48" s="62" t="str">
        <f>SETUP!$B$26</f>
        <v>INVESTIMENTO</v>
      </c>
      <c r="C48" s="128">
        <f t="shared" si="7"/>
        <v>0</v>
      </c>
      <c r="D48" s="128">
        <f>IFERROR(SUMIFS(FEBBRAIO!$D$33:$D$77,FEBBRAIO!$B$33:$B$77,$B48,FEBBRAIO!$F$33:$F$77,"&lt;&gt;NO"),0)</f>
        <v>0</v>
      </c>
      <c r="E48" s="128">
        <f>IFERROR(SUMIFS(MARZO!$D$33:$D$77,MARZO!$B$33:$B$77,$B48,MARZO!$F$33:$F$77,"&lt;&gt;NO"),0)</f>
        <v>0</v>
      </c>
      <c r="F48" s="128">
        <f>IFERROR(SUMIFS(APRILE!$D$33:$D$77,APRILE!$B$33:$B$77,$B48,APRILE!$F$33:$F$77,"&lt;&gt;NO"),0)</f>
        <v>0</v>
      </c>
      <c r="G48" s="128">
        <f>IFERROR(SUMIFS(MAGGIO!$D$33:$D$77,MAGGIO!$B$33:$B$77,$B48,MAGGIO!$F$33:$F$77,"&lt;&gt;NO"),0)</f>
        <v>0</v>
      </c>
      <c r="H48" s="128">
        <f>IFERROR(SUMIFS(GIUGNO!$D$33:$D$77,GIUGNO!$B$33:$B$77,$B48,GIUGNO!$F$33:$F$77,"&lt;&gt;NO"),0)</f>
        <v>0</v>
      </c>
      <c r="I48" s="128">
        <f>IFERROR(SUMIFS(LUGLIO!$D$33:$D$77,LUGLIO!$B$33:$B$77,$B48,LUGLIO!$F$33:$F$77,"&lt;&gt;NO"),0)</f>
        <v>0</v>
      </c>
      <c r="J48" s="128">
        <f>IFERROR(SUMIFS(AGOSTO!$D$33:$D$77,AGOSTO!$B$33:$B$77,$B48,AGOSTO!$F$33:$F$77,"&lt;&gt;NO"),0)</f>
        <v>0</v>
      </c>
      <c r="K48" s="128">
        <f>IFERROR(SUMIFS(SETTEMBRE!$D$33:$D$77,SETTEMBRE!$B$33:$B$77,$B48,SETTEMBRE!$F$33:$F$77,"&lt;&gt;NO"),0)</f>
        <v>0</v>
      </c>
      <c r="L48" s="128">
        <f>IFERROR(SUMIFS(OTTOBRE!$D$33:$D$77,OTTOBRE!$B$33:$B$77,$B48,OTTOBRE!$F$33:$F$77,"&lt;&gt;NO"),0)</f>
        <v>0</v>
      </c>
      <c r="M48" s="128">
        <f>IFERROR(SUMIFS(NOVEMBRE!$D$33:$D$77,NOVEMBRE!$B$33:$B$77,$B48,NOVEMBRE!$F$33:$F$77,"&lt;&gt;NO"),0)</f>
        <v>0</v>
      </c>
      <c r="N48" s="128">
        <f>IFERROR(SUMIFS(DICEMBRE!$D$33:$D$77,DICEMBRE!$B$33:$B$77,$B48,DICEMBRE!$F$33:$F$77,"&lt;&gt;NO"),0)</f>
        <v>0</v>
      </c>
      <c r="O48" s="129">
        <f t="shared" si="8"/>
        <v>0</v>
      </c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"/>
      <c r="B49" s="62" t="str">
        <f>SETUP!$B$27</f>
        <v>ALTRO</v>
      </c>
      <c r="C49" s="128">
        <f t="shared" si="7"/>
        <v>0</v>
      </c>
      <c r="D49" s="128">
        <f>IFERROR(SUMIFS(FEBBRAIO!$D$33:$D$77,FEBBRAIO!$B$33:$B$77,$B49,FEBBRAIO!$F$33:$F$77,"&lt;&gt;NO"),0)</f>
        <v>0</v>
      </c>
      <c r="E49" s="128">
        <f>IFERROR(SUMIFS(MARZO!$D$33:$D$77,MARZO!$B$33:$B$77,$B49,MARZO!$F$33:$F$77,"&lt;&gt;NO"),0)</f>
        <v>0</v>
      </c>
      <c r="F49" s="128">
        <f>IFERROR(SUMIFS(APRILE!$D$33:$D$77,APRILE!$B$33:$B$77,$B49,APRILE!$F$33:$F$77,"&lt;&gt;NO"),0)</f>
        <v>0</v>
      </c>
      <c r="G49" s="128">
        <f>IFERROR(SUMIFS(MAGGIO!$D$33:$D$77,MAGGIO!$B$33:$B$77,$B49,MAGGIO!$F$33:$F$77,"&lt;&gt;NO"),0)</f>
        <v>85</v>
      </c>
      <c r="H49" s="128">
        <f>IFERROR(SUMIFS(GIUGNO!$D$33:$D$77,GIUGNO!$B$33:$B$77,$B49,GIUGNO!$F$33:$F$77,"&lt;&gt;NO"),0)</f>
        <v>0</v>
      </c>
      <c r="I49" s="128">
        <f>IFERROR(SUMIFS(LUGLIO!$D$33:$D$77,LUGLIO!$B$33:$B$77,$B49,LUGLIO!$F$33:$F$77,"&lt;&gt;NO"),0)</f>
        <v>0</v>
      </c>
      <c r="J49" s="128">
        <f>IFERROR(SUMIFS(AGOSTO!$D$33:$D$77,AGOSTO!$B$33:$B$77,$B49,AGOSTO!$F$33:$F$77,"&lt;&gt;NO"),0)</f>
        <v>0</v>
      </c>
      <c r="K49" s="128">
        <f>IFERROR(SUMIFS(SETTEMBRE!$D$33:$D$77,SETTEMBRE!$B$33:$B$77,$B49,SETTEMBRE!$F$33:$F$77,"&lt;&gt;NO"),0)</f>
        <v>0</v>
      </c>
      <c r="L49" s="128">
        <f>IFERROR(SUMIFS(OTTOBRE!$D$33:$D$77,OTTOBRE!$B$33:$B$77,$B49,OTTOBRE!$F$33:$F$77,"&lt;&gt;NO"),0)</f>
        <v>0</v>
      </c>
      <c r="M49" s="128">
        <f>IFERROR(SUMIFS(NOVEMBRE!$D$33:$D$77,NOVEMBRE!$B$33:$B$77,$B49,NOVEMBRE!$F$33:$F$77,"&lt;&gt;NO"),0)</f>
        <v>0</v>
      </c>
      <c r="N49" s="128">
        <f>IFERROR(SUMIFS(DICEMBRE!$D$33:$D$77,DICEMBRE!$B$33:$B$77,$B49,DICEMBRE!$F$33:$F$77,"&lt;&gt;NO"),0)</f>
        <v>0</v>
      </c>
      <c r="O49" s="129">
        <f t="shared" si="8"/>
        <v>85</v>
      </c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71"/>
      <c r="B50" s="62" t="str">
        <f>SETUP!$B$28</f>
        <v>(vuoto — aggiungi qui)</v>
      </c>
      <c r="C50" s="128">
        <f t="shared" si="7"/>
        <v>0</v>
      </c>
      <c r="D50" s="128">
        <f>IFERROR(SUMIFS(FEBBRAIO!$D$33:$D$77,FEBBRAIO!$B$33:$B$77,$B50,FEBBRAIO!$F$33:$F$77,"&lt;&gt;NO"),0)</f>
        <v>0</v>
      </c>
      <c r="E50" s="128">
        <f>IFERROR(SUMIFS(MARZO!$D$33:$D$77,MARZO!$B$33:$B$77,$B50,MARZO!$F$33:$F$77,"&lt;&gt;NO"),0)</f>
        <v>0</v>
      </c>
      <c r="F50" s="128">
        <f>IFERROR(SUMIFS(APRILE!$D$33:$D$77,APRILE!$B$33:$B$77,$B50,APRILE!$F$33:$F$77,"&lt;&gt;NO"),0)</f>
        <v>0</v>
      </c>
      <c r="G50" s="128">
        <f>IFERROR(SUMIFS(MAGGIO!$D$33:$D$77,MAGGIO!$B$33:$B$77,$B50,MAGGIO!$F$33:$F$77,"&lt;&gt;NO"),0)</f>
        <v>0</v>
      </c>
      <c r="H50" s="128">
        <f>IFERROR(SUMIFS(GIUGNO!$D$33:$D$77,GIUGNO!$B$33:$B$77,$B50,GIUGNO!$F$33:$F$77,"&lt;&gt;NO"),0)</f>
        <v>0</v>
      </c>
      <c r="I50" s="128">
        <f>IFERROR(SUMIFS(LUGLIO!$D$33:$D$77,LUGLIO!$B$33:$B$77,$B50,LUGLIO!$F$33:$F$77,"&lt;&gt;NO"),0)</f>
        <v>0</v>
      </c>
      <c r="J50" s="128">
        <f>IFERROR(SUMIFS(AGOSTO!$D$33:$D$77,AGOSTO!$B$33:$B$77,$B50,AGOSTO!$F$33:$F$77,"&lt;&gt;NO"),0)</f>
        <v>0</v>
      </c>
      <c r="K50" s="128">
        <f>IFERROR(SUMIFS(SETTEMBRE!$D$33:$D$77,SETTEMBRE!$B$33:$B$77,$B50,SETTEMBRE!$F$33:$F$77,"&lt;&gt;NO"),0)</f>
        <v>0</v>
      </c>
      <c r="L50" s="128">
        <f>IFERROR(SUMIFS(OTTOBRE!$D$33:$D$77,OTTOBRE!$B$33:$B$77,$B50,OTTOBRE!$F$33:$F$77,"&lt;&gt;NO"),0)</f>
        <v>0</v>
      </c>
      <c r="M50" s="128">
        <f>IFERROR(SUMIFS(NOVEMBRE!$D$33:$D$77,NOVEMBRE!$B$33:$B$77,$B50,NOVEMBRE!$F$33:$F$77,"&lt;&gt;NO"),0)</f>
        <v>0</v>
      </c>
      <c r="N50" s="128">
        <f>IFERROR(SUMIFS(DICEMBRE!$D$33:$D$77,DICEMBRE!$B$33:$B$77,$B50,DICEMBRE!$F$33:$F$77,"&lt;&gt;NO"),0)</f>
        <v>0</v>
      </c>
      <c r="O50" s="129">
        <f t="shared" si="8"/>
        <v>0</v>
      </c>
      <c r="P50" s="7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71"/>
      <c r="B51" s="62" t="str">
        <f>SETUP!$B$29</f>
        <v>(vuoto — aggiungi qui)</v>
      </c>
      <c r="C51" s="128">
        <f t="shared" si="7"/>
        <v>0</v>
      </c>
      <c r="D51" s="128">
        <f>IFERROR(SUMIFS(FEBBRAIO!$D$33:$D$77,FEBBRAIO!$B$33:$B$77,$B51,FEBBRAIO!$F$33:$F$77,"&lt;&gt;NO"),0)</f>
        <v>0</v>
      </c>
      <c r="E51" s="128">
        <f>IFERROR(SUMIFS(MARZO!$D$33:$D$77,MARZO!$B$33:$B$77,$B51,MARZO!$F$33:$F$77,"&lt;&gt;NO"),0)</f>
        <v>0</v>
      </c>
      <c r="F51" s="128">
        <f>IFERROR(SUMIFS(APRILE!$D$33:$D$77,APRILE!$B$33:$B$77,$B51,APRILE!$F$33:$F$77,"&lt;&gt;NO"),0)</f>
        <v>0</v>
      </c>
      <c r="G51" s="128">
        <f>IFERROR(SUMIFS(MAGGIO!$D$33:$D$77,MAGGIO!$B$33:$B$77,$B51,MAGGIO!$F$33:$F$77,"&lt;&gt;NO"),0)</f>
        <v>0</v>
      </c>
      <c r="H51" s="128">
        <f>IFERROR(SUMIFS(GIUGNO!$D$33:$D$77,GIUGNO!$B$33:$B$77,$B51,GIUGNO!$F$33:$F$77,"&lt;&gt;NO"),0)</f>
        <v>0</v>
      </c>
      <c r="I51" s="128">
        <f>IFERROR(SUMIFS(LUGLIO!$D$33:$D$77,LUGLIO!$B$33:$B$77,$B51,LUGLIO!$F$33:$F$77,"&lt;&gt;NO"),0)</f>
        <v>0</v>
      </c>
      <c r="J51" s="128">
        <f>IFERROR(SUMIFS(AGOSTO!$D$33:$D$77,AGOSTO!$B$33:$B$77,$B51,AGOSTO!$F$33:$F$77,"&lt;&gt;NO"),0)</f>
        <v>0</v>
      </c>
      <c r="K51" s="128">
        <f>IFERROR(SUMIFS(SETTEMBRE!$D$33:$D$77,SETTEMBRE!$B$33:$B$77,$B51,SETTEMBRE!$F$33:$F$77,"&lt;&gt;NO"),0)</f>
        <v>0</v>
      </c>
      <c r="L51" s="128">
        <f>IFERROR(SUMIFS(OTTOBRE!$D$33:$D$77,OTTOBRE!$B$33:$B$77,$B51,OTTOBRE!$F$33:$F$77,"&lt;&gt;NO"),0)</f>
        <v>0</v>
      </c>
      <c r="M51" s="128">
        <f>IFERROR(SUMIFS(NOVEMBRE!$D$33:$D$77,NOVEMBRE!$B$33:$B$77,$B51,NOVEMBRE!$F$33:$F$77,"&lt;&gt;NO"),0)</f>
        <v>0</v>
      </c>
      <c r="N51" s="128">
        <f>IFERROR(SUMIFS(DICEMBRE!$D$33:$D$77,DICEMBRE!$B$33:$B$77,$B51,DICEMBRE!$F$33:$F$77,"&lt;&gt;NO"),0)</f>
        <v>0</v>
      </c>
      <c r="O51" s="129">
        <f t="shared" si="8"/>
        <v>0</v>
      </c>
      <c r="P51" s="7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71"/>
      <c r="B52" s="62" t="str">
        <f>SETUP!$B$30</f>
        <v>(vuoto — aggiungi qui)</v>
      </c>
      <c r="C52" s="128">
        <f t="shared" si="7"/>
        <v>0</v>
      </c>
      <c r="D52" s="128">
        <f>IFERROR(SUMIFS(FEBBRAIO!$D$33:$D$77,FEBBRAIO!$B$33:$B$77,$B52,FEBBRAIO!$F$33:$F$77,"&lt;&gt;NO"),0)</f>
        <v>0</v>
      </c>
      <c r="E52" s="128">
        <f>IFERROR(SUMIFS(MARZO!$D$33:$D$77,MARZO!$B$33:$B$77,$B52,MARZO!$F$33:$F$77,"&lt;&gt;NO"),0)</f>
        <v>0</v>
      </c>
      <c r="F52" s="128">
        <f>IFERROR(SUMIFS(APRILE!$D$33:$D$77,APRILE!$B$33:$B$77,$B52,APRILE!$F$33:$F$77,"&lt;&gt;NO"),0)</f>
        <v>0</v>
      </c>
      <c r="G52" s="128">
        <f>IFERROR(SUMIFS(MAGGIO!$D$33:$D$77,MAGGIO!$B$33:$B$77,$B52,MAGGIO!$F$33:$F$77,"&lt;&gt;NO"),0)</f>
        <v>0</v>
      </c>
      <c r="H52" s="128">
        <f>IFERROR(SUMIFS(GIUGNO!$D$33:$D$77,GIUGNO!$B$33:$B$77,$B52,GIUGNO!$F$33:$F$77,"&lt;&gt;NO"),0)</f>
        <v>0</v>
      </c>
      <c r="I52" s="128">
        <f>IFERROR(SUMIFS(LUGLIO!$D$33:$D$77,LUGLIO!$B$33:$B$77,$B52,LUGLIO!$F$33:$F$77,"&lt;&gt;NO"),0)</f>
        <v>0</v>
      </c>
      <c r="J52" s="128">
        <f>IFERROR(SUMIFS(AGOSTO!$D$33:$D$77,AGOSTO!$B$33:$B$77,$B52,AGOSTO!$F$33:$F$77,"&lt;&gt;NO"),0)</f>
        <v>0</v>
      </c>
      <c r="K52" s="128">
        <f>IFERROR(SUMIFS(SETTEMBRE!$D$33:$D$77,SETTEMBRE!$B$33:$B$77,$B52,SETTEMBRE!$F$33:$F$77,"&lt;&gt;NO"),0)</f>
        <v>0</v>
      </c>
      <c r="L52" s="128">
        <f>IFERROR(SUMIFS(OTTOBRE!$D$33:$D$77,OTTOBRE!$B$33:$B$77,$B52,OTTOBRE!$F$33:$F$77,"&lt;&gt;NO"),0)</f>
        <v>0</v>
      </c>
      <c r="M52" s="128">
        <f>IFERROR(SUMIFS(NOVEMBRE!$D$33:$D$77,NOVEMBRE!$B$33:$B$77,$B52,NOVEMBRE!$F$33:$F$77,"&lt;&gt;NO"),0)</f>
        <v>0</v>
      </c>
      <c r="N52" s="128">
        <f>IFERROR(SUMIFS(DICEMBRE!$D$33:$D$77,DICEMBRE!$B$33:$B$77,$B52,DICEMBRE!$F$33:$F$77,"&lt;&gt;NO"),0)</f>
        <v>0</v>
      </c>
      <c r="O52" s="129">
        <f t="shared" si="8"/>
        <v>0</v>
      </c>
      <c r="P52" s="7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71"/>
      <c r="B53" s="62" t="str">
        <f>SETUP!$B$31</f>
        <v>(vuoto — aggiungi qui)</v>
      </c>
      <c r="C53" s="128">
        <f t="shared" si="7"/>
        <v>0</v>
      </c>
      <c r="D53" s="128">
        <f>IFERROR(SUMIFS(FEBBRAIO!$D$33:$D$77,FEBBRAIO!$B$33:$B$77,$B53,FEBBRAIO!$F$33:$F$77,"&lt;&gt;NO"),0)</f>
        <v>0</v>
      </c>
      <c r="E53" s="128">
        <f>IFERROR(SUMIFS(MARZO!$D$33:$D$77,MARZO!$B$33:$B$77,$B53,MARZO!$F$33:$F$77,"&lt;&gt;NO"),0)</f>
        <v>0</v>
      </c>
      <c r="F53" s="128">
        <f>IFERROR(SUMIFS(APRILE!$D$33:$D$77,APRILE!$B$33:$B$77,$B53,APRILE!$F$33:$F$77,"&lt;&gt;NO"),0)</f>
        <v>0</v>
      </c>
      <c r="G53" s="128">
        <f>IFERROR(SUMIFS(MAGGIO!$D$33:$D$77,MAGGIO!$B$33:$B$77,$B53,MAGGIO!$F$33:$F$77,"&lt;&gt;NO"),0)</f>
        <v>0</v>
      </c>
      <c r="H53" s="128">
        <f>IFERROR(SUMIFS(GIUGNO!$D$33:$D$77,GIUGNO!$B$33:$B$77,$B53,GIUGNO!$F$33:$F$77,"&lt;&gt;NO"),0)</f>
        <v>0</v>
      </c>
      <c r="I53" s="128">
        <f>IFERROR(SUMIFS(LUGLIO!$D$33:$D$77,LUGLIO!$B$33:$B$77,$B53,LUGLIO!$F$33:$F$77,"&lt;&gt;NO"),0)</f>
        <v>0</v>
      </c>
      <c r="J53" s="128">
        <f>IFERROR(SUMIFS(AGOSTO!$D$33:$D$77,AGOSTO!$B$33:$B$77,$B53,AGOSTO!$F$33:$F$77,"&lt;&gt;NO"),0)</f>
        <v>0</v>
      </c>
      <c r="K53" s="128">
        <f>IFERROR(SUMIFS(SETTEMBRE!$D$33:$D$77,SETTEMBRE!$B$33:$B$77,$B53,SETTEMBRE!$F$33:$F$77,"&lt;&gt;NO"),0)</f>
        <v>0</v>
      </c>
      <c r="L53" s="128">
        <f>IFERROR(SUMIFS(OTTOBRE!$D$33:$D$77,OTTOBRE!$B$33:$B$77,$B53,OTTOBRE!$F$33:$F$77,"&lt;&gt;NO"),0)</f>
        <v>0</v>
      </c>
      <c r="M53" s="128">
        <f>IFERROR(SUMIFS(NOVEMBRE!$D$33:$D$77,NOVEMBRE!$B$33:$B$77,$B53,NOVEMBRE!$F$33:$F$77,"&lt;&gt;NO"),0)</f>
        <v>0</v>
      </c>
      <c r="N53" s="128">
        <f>IFERROR(SUMIFS(DICEMBRE!$D$33:$D$77,DICEMBRE!$B$33:$B$77,$B53,DICEMBRE!$F$33:$F$77,"&lt;&gt;NO"),0)</f>
        <v>0</v>
      </c>
      <c r="O53" s="129">
        <f t="shared" si="8"/>
        <v>0</v>
      </c>
      <c r="P53" s="7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71"/>
      <c r="B54" s="62" t="str">
        <f>SETUP!$B$32</f>
        <v>(vuoto — aggiungi qui)</v>
      </c>
      <c r="C54" s="128">
        <f t="shared" si="7"/>
        <v>0</v>
      </c>
      <c r="D54" s="128">
        <f>IFERROR(SUMIFS(FEBBRAIO!$D$33:$D$77,FEBBRAIO!$B$33:$B$77,$B54,FEBBRAIO!$F$33:$F$77,"&lt;&gt;NO"),0)</f>
        <v>0</v>
      </c>
      <c r="E54" s="128">
        <f>IFERROR(SUMIFS(MARZO!$D$33:$D$77,MARZO!$B$33:$B$77,$B54,MARZO!$F$33:$F$77,"&lt;&gt;NO"),0)</f>
        <v>0</v>
      </c>
      <c r="F54" s="128">
        <f>IFERROR(SUMIFS(APRILE!$D$33:$D$77,APRILE!$B$33:$B$77,$B54,APRILE!$F$33:$F$77,"&lt;&gt;NO"),0)</f>
        <v>0</v>
      </c>
      <c r="G54" s="128">
        <f>IFERROR(SUMIFS(MAGGIO!$D$33:$D$77,MAGGIO!$B$33:$B$77,$B54,MAGGIO!$F$33:$F$77,"&lt;&gt;NO"),0)</f>
        <v>0</v>
      </c>
      <c r="H54" s="128">
        <f>IFERROR(SUMIFS(GIUGNO!$D$33:$D$77,GIUGNO!$B$33:$B$77,$B54,GIUGNO!$F$33:$F$77,"&lt;&gt;NO"),0)</f>
        <v>0</v>
      </c>
      <c r="I54" s="128">
        <f>IFERROR(SUMIFS(LUGLIO!$D$33:$D$77,LUGLIO!$B$33:$B$77,$B54,LUGLIO!$F$33:$F$77,"&lt;&gt;NO"),0)</f>
        <v>0</v>
      </c>
      <c r="J54" s="128">
        <f>IFERROR(SUMIFS(AGOSTO!$D$33:$D$77,AGOSTO!$B$33:$B$77,$B54,AGOSTO!$F$33:$F$77,"&lt;&gt;NO"),0)</f>
        <v>0</v>
      </c>
      <c r="K54" s="128">
        <f>IFERROR(SUMIFS(SETTEMBRE!$D$33:$D$77,SETTEMBRE!$B$33:$B$77,$B54,SETTEMBRE!$F$33:$F$77,"&lt;&gt;NO"),0)</f>
        <v>0</v>
      </c>
      <c r="L54" s="128">
        <f>IFERROR(SUMIFS(OTTOBRE!$D$33:$D$77,OTTOBRE!$B$33:$B$77,$B54,OTTOBRE!$F$33:$F$77,"&lt;&gt;NO"),0)</f>
        <v>0</v>
      </c>
      <c r="M54" s="128">
        <f>IFERROR(SUMIFS(NOVEMBRE!$D$33:$D$77,NOVEMBRE!$B$33:$B$77,$B54,NOVEMBRE!$F$33:$F$77,"&lt;&gt;NO"),0)</f>
        <v>0</v>
      </c>
      <c r="N54" s="128">
        <f>IFERROR(SUMIFS(DICEMBRE!$D$33:$D$77,DICEMBRE!$B$33:$B$77,$B54,DICEMBRE!$F$33:$F$77,"&lt;&gt;NO"),0)</f>
        <v>0</v>
      </c>
      <c r="O54" s="129">
        <f t="shared" si="8"/>
        <v>0</v>
      </c>
      <c r="P54" s="7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71"/>
      <c r="B55" s="48" t="s">
        <v>225</v>
      </c>
      <c r="C55" s="130">
        <f t="shared" ref="C55:O55" si="9">SUM(C40:C54)</f>
        <v>1807.17</v>
      </c>
      <c r="D55" s="130">
        <f t="shared" si="9"/>
        <v>1147.79</v>
      </c>
      <c r="E55" s="130">
        <f t="shared" si="9"/>
        <v>1361.87</v>
      </c>
      <c r="F55" s="130">
        <f t="shared" si="9"/>
        <v>754.9</v>
      </c>
      <c r="G55" s="130">
        <f t="shared" si="9"/>
        <v>470.02</v>
      </c>
      <c r="H55" s="130">
        <f t="shared" si="9"/>
        <v>20.61</v>
      </c>
      <c r="I55" s="130">
        <f t="shared" si="9"/>
        <v>28.61</v>
      </c>
      <c r="J55" s="130">
        <f t="shared" si="9"/>
        <v>28.61</v>
      </c>
      <c r="K55" s="130">
        <f t="shared" si="9"/>
        <v>28.61</v>
      </c>
      <c r="L55" s="130">
        <f t="shared" si="9"/>
        <v>28.61</v>
      </c>
      <c r="M55" s="130">
        <f t="shared" si="9"/>
        <v>28.61</v>
      </c>
      <c r="N55" s="130">
        <f t="shared" si="9"/>
        <v>28.61</v>
      </c>
      <c r="O55" s="131">
        <f t="shared" si="9"/>
        <v>5734.02</v>
      </c>
      <c r="P55" s="7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71"/>
      <c r="B57" s="19" t="s">
        <v>226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/>
      <c r="P57" s="7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1"/>
      <c r="B77" s="132" t="s">
        <v>227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4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1"/>
      <c r="B78" s="135" t="str">
        <f>CONCATENATE("Ultimo aggiornamento: ",TEXT(NOW(),"dd/mm/yyyy HH:mm"),"  •  Cliente Spot — Soft Staking attivo su ETH")</f>
        <v>Ultimo aggiornamento: 12/05/2026 08:31  •  Cliente Spot — Soft Staking attivo su ETH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75" customHeight="1">
      <c r="A80" s="1"/>
      <c r="B80" s="24" t="s">
        <v>228</v>
      </c>
      <c r="C80" s="25" t="s">
        <v>229</v>
      </c>
      <c r="D80" s="25" t="s">
        <v>230</v>
      </c>
      <c r="E80" s="25" t="s">
        <v>231</v>
      </c>
      <c r="F80" s="25" t="s">
        <v>232</v>
      </c>
      <c r="G80" s="25" t="s">
        <v>233</v>
      </c>
      <c r="H80" s="25" t="s">
        <v>234</v>
      </c>
      <c r="I80" s="25" t="s">
        <v>235</v>
      </c>
      <c r="J80" s="1"/>
      <c r="K80" s="25" t="s">
        <v>236</v>
      </c>
      <c r="L80" s="1"/>
      <c r="M80" s="1"/>
      <c r="N80" s="1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1"/>
      <c r="B81" s="136" t="s">
        <v>237</v>
      </c>
      <c r="C81" s="137">
        <v>0.00214133</v>
      </c>
      <c r="D81" s="138">
        <v>93836.29</v>
      </c>
      <c r="E81" s="139">
        <f t="shared" ref="E81:E82" si="10">C81*D81</f>
        <v>200.9344629</v>
      </c>
      <c r="F81" s="140">
        <f>IFERROR(__xludf.DUMMYFUNCTION("googlefinance(""CURRENCY:BTCUSD"")"),80208.7519)</f>
        <v>80208.7519</v>
      </c>
      <c r="G81" s="141">
        <f t="shared" ref="G81:G82" si="11">C81*F81</f>
        <v>171.7534067</v>
      </c>
      <c r="H81" s="142">
        <f t="shared" ref="H81:H82" si="12">G81-E81</f>
        <v>-29.18105616</v>
      </c>
      <c r="I81" s="143">
        <f t="shared" ref="I81:I82" si="13">IFERROR(H81/E81,0)</f>
        <v>-0.1452267358</v>
      </c>
      <c r="J81" s="1"/>
      <c r="K81" s="143" t="str">
        <f>IFERROR(__xludf.DUMMYFUNCTION("IFERROR(googlefinance(""CURRENCY:BTCUSD"",""changepct"")/100,""n/d"")"),"n/d")</f>
        <v>n/d</v>
      </c>
      <c r="L81" s="1"/>
      <c r="M81" s="1"/>
      <c r="N81" s="1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1"/>
      <c r="B82" s="144" t="s">
        <v>238</v>
      </c>
      <c r="C82" s="137">
        <v>0.16888396</v>
      </c>
      <c r="D82" s="138">
        <v>2387.49</v>
      </c>
      <c r="E82" s="139">
        <f t="shared" si="10"/>
        <v>403.2087657</v>
      </c>
      <c r="F82" s="140">
        <f>IFERROR(__xludf.DUMMYFUNCTION("googlefinance(""CURRENCY:ETHUSD"")"),2258.4139)</f>
        <v>2258.4139</v>
      </c>
      <c r="G82" s="141">
        <f t="shared" si="11"/>
        <v>381.4098828</v>
      </c>
      <c r="H82" s="142">
        <f t="shared" si="12"/>
        <v>-21.79888291</v>
      </c>
      <c r="I82" s="143">
        <f t="shared" si="13"/>
        <v>-0.0540635144</v>
      </c>
      <c r="J82" s="1"/>
      <c r="K82" s="143" t="str">
        <f>IFERROR(__xludf.DUMMYFUNCTION("IFERROR(googlefinance(""CURRENCY:ETHUSD"",""changepct"")/100,""n/d"")"),"n/d")</f>
        <v>n/d</v>
      </c>
      <c r="L82" s="1"/>
      <c r="M82" s="1"/>
      <c r="N82" s="1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1"/>
      <c r="B83" s="145" t="s">
        <v>239</v>
      </c>
      <c r="C83" s="146"/>
      <c r="D83" s="146"/>
      <c r="E83" s="146"/>
      <c r="F83" s="146"/>
      <c r="G83" s="146"/>
      <c r="H83" s="146"/>
      <c r="I83" s="146"/>
      <c r="J83" s="1"/>
      <c r="K83" s="146"/>
      <c r="L83" s="1"/>
      <c r="M83" s="1"/>
      <c r="N83" s="1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1"/>
      <c r="B84" s="145"/>
      <c r="C84" s="146"/>
      <c r="D84" s="146"/>
      <c r="E84" s="146"/>
      <c r="F84" s="146"/>
      <c r="G84" s="146"/>
      <c r="H84" s="146"/>
      <c r="I84" s="146"/>
      <c r="J84" s="1"/>
      <c r="K84" s="146"/>
      <c r="L84" s="1"/>
      <c r="M84" s="1"/>
      <c r="N84" s="1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1"/>
      <c r="B86" s="147" t="s">
        <v>240</v>
      </c>
      <c r="C86" s="50"/>
      <c r="D86" s="50"/>
      <c r="E86" s="148">
        <f>SUM(E81:E84)</f>
        <v>604.1432285</v>
      </c>
      <c r="F86" s="50"/>
      <c r="G86" s="149">
        <f t="shared" ref="G86:H86" si="14">SUM(G81:G84)</f>
        <v>553.1632895</v>
      </c>
      <c r="H86" s="150">
        <f t="shared" si="14"/>
        <v>-50.97993907</v>
      </c>
      <c r="I86" s="151">
        <f>IFERROR(H86/E86,0)</f>
        <v>-0.08438386241</v>
      </c>
      <c r="J86" s="50"/>
      <c r="K86" s="50"/>
      <c r="L86" s="1"/>
      <c r="M86" s="1"/>
      <c r="N86" s="1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1"/>
      <c r="B88" s="132" t="s">
        <v>241</v>
      </c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4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1"/>
      <c r="B90" s="8" t="s">
        <v>242</v>
      </c>
      <c r="C90" s="4"/>
      <c r="D90" s="5"/>
      <c r="E90" s="8" t="s">
        <v>243</v>
      </c>
      <c r="F90" s="4"/>
      <c r="G90" s="5"/>
      <c r="H90" s="8" t="s">
        <v>244</v>
      </c>
      <c r="I90" s="4"/>
      <c r="J90" s="5"/>
      <c r="K90" s="8" t="s">
        <v>245</v>
      </c>
      <c r="L90" s="4"/>
      <c r="M90" s="5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1"/>
      <c r="B91" s="152">
        <f t="array" ref="B91">IFERROR(SUMIFS(INDIRECT("GENNAIO!C82:C91"),INDIRECT("GENNAIO!B82:B91"),"FONDO EMERGENZA"),0)+IFERROR(SUMIFS(INDIRECT("FEBBRAIO!C82:C91"),INDIRECT("FEBBRAIO!B82:B91"),"FONDO EMERGENZA"),0)+IFERROR(SUMIFS(INDIRECT("MARZO!C82:C91"),INDIRECT("MARZO!B82:B91"),"FONDO EMERGENZA"),0)+IFERROR(SUMIFS(INDIRECT("APRILE!C82:C91"),INDIRECT("APRILE!B82:B91"),"FONDO EMERGENZA"),0)+IFERROR(SUMIFS(INDIRECT("MAGGIO!C82:C91"),INDIRECT("MAGGIO!B82:B91"),"FONDO EMERGENZA"),0)+IFERROR(SUMIFS(INDIRECT("GIUGNO!C82:C91"),INDIRECT("GIUGNO!B82:B91"),"FONDO EMERGENZA"),0)+IFERROR(SUMIFS(INDIRECT("LUGLIO!C82:C91"),INDIRECT("LUGLIO!B82:B91"),"FONDO EMERGENZA"),0)+IFERROR(SUMIFS(INDIRECT("AGOSTO!C82:C91"),INDIRECT("AGOSTO!B82:B91"),"FONDO EMERGENZA"),0)+IFERROR(SUMIFS(INDIRECT("SETTEMBRE!C82:C91"),INDIRECT("SETTEMBRE!B82:B91"),"FONDO EMERGENZA"),0)+IFERROR(SUMIFS(INDIRECT("OTTOBRE!C82:C91"),INDIRECT("OTTOBRE!B82:B91"),"FONDO EMERGENZA"),0)+IFERROR(SUMIFS(INDIRECT("NOVEMBRE!C82:C91"),INDIRECT("NOVEMBRE!B82:B91"),"FONDO EMERGENZA"),0)+IFERROR(SUMIFS(INDIRECT("DICEMBRE!C82:C91"),INDIRECT("DICEMBRE!B82:B91"),"FONDO EMERGENZA"),0)</f>
        <v>0</v>
      </c>
      <c r="C91" s="4"/>
      <c r="D91" s="5"/>
      <c r="E91" s="152">
        <f>IFERROR(GENNAIO!F29,0)+IFERROR(FEBBRAIO!F29,0)+IFERROR(MARZO!F29,0)+IFERROR(APRILE!F29,0)+IFERROR(MAGGIO!F29,0)+IFERROR(GIUGNO!F29,0)+IFERROR(LUGLIO!F29,0)+IFERROR(AGOSTO!F29,0)+IFERROR(SETTEMBRE!F29,0)+IFERROR(OTTOBRE!F29,0)+IFERROR(NOVEMBRE!F29,0)+IFERROR(DICEMBRE!F29,0)</f>
        <v>159.9</v>
      </c>
      <c r="F91" s="4"/>
      <c r="G91" s="5"/>
      <c r="H91" s="153">
        <f>IFERROR((IFERROR(GENNAIO!C92,0)+IFERROR(FEBBRAIO!C92,0)+IFERROR(MARZO!C92,0)+IFERROR(APRILE!C92,0)+IFERROR(MAGGIO!C92,0)+IFERROR(GIUGNO!C92,0)+IFERROR(LUGLIO!C92,0)+IFERROR(AGOSTO!C92,0)+IFERROR(SETTEMBRE!C92,0)+IFERROR(OTTOBRE!C92,0)+IFERROR(NOVEMBRE!C92,0)+IFERROR(DICEMBRE!C92,0))/(IFERROR(GENNAIO!K92,0)+IFERROR(FEBBRAIO!K92,0)+IFERROR(MARZO!K92,0)+IFERROR(APRILE!K92,0)+IFERROR(MAGGIO!K92,0)+IFERROR(GIUGNO!K92,0)+IFERROR(LUGLIO!K92,0)+IFERROR(AGOSTO!K92,0)+IFERROR(SETTEMBRE!K92,0)+IFERROR(OTTOBRE!K92,0)+IFERROR(NOVEMBRE!K92,0)+IFERROR(DICEMBRE!K92,0)),0)</f>
        <v>1.916773024</v>
      </c>
      <c r="I91" s="4"/>
      <c r="J91" s="5"/>
      <c r="K91" s="154">
        <f>IFERROR(G81+G82,0)+IFERROR(INVESTIMENTI!$C$48,0)+IFERROR(INVESTIMENTI!$H$92,0)</f>
        <v>2353.163289</v>
      </c>
      <c r="L91" s="4"/>
      <c r="M91" s="5"/>
      <c r="N91" s="1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1"/>
      <c r="B92" s="155" t="str">
        <f>CONCATENATE("vs target €",TEXT(SETUP!$C$12,"#,##0"),"  •  ",TEXT(IFERROR(B91/SETUP!$C$12,0),"0%")," completato")</f>
        <v>vs target €6.000  •  0% completato</v>
      </c>
      <c r="C92" s="4"/>
      <c r="D92" s="5"/>
      <c r="E92" s="155" t="str">
        <f>CONCATENATE("+ INPS Fisso anno: €",TEXT(12*SETUP!$C$6,"#,##0"))</f>
        <v>+ INPS Fisso anno: €4.612</v>
      </c>
      <c r="F92" s="4"/>
      <c r="G92" s="5"/>
      <c r="H92" s="155" t="str">
        <f>CONCATENATE("vs target ",TEXT(SETUP!$C$13,"0%"))</f>
        <v>vs target 25%</v>
      </c>
      <c r="I92" s="4"/>
      <c r="J92" s="5"/>
      <c r="K92" s="155" t="str">
        <f>CONCATENATE("Crypto €",TEXT(IFERROR(G81+G82,0),"#,##0"),"  •  PAC €",TEXT(IFERROR(INVESTIMENTI!$C$48,0),"#,##0"),"  •  ETF €",TEXT(IFERROR(INVESTIMENTI!$H$92,0),"#,##0"))</f>
        <v>Crypto €553  •  PAC €1.800  •  ETF €0</v>
      </c>
      <c r="L92" s="4"/>
      <c r="M92" s="5"/>
      <c r="N92" s="1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1"/>
      <c r="B93" s="156" t="str">
        <f>IF(B91&gt;=SETUP!$C$12,"✅ OBIETTIVO RAGGIUNTO",CONCATENATE("manca €",TEXT(SETUP!$C$12-B91,"#,##0")))</f>
        <v>manca €6.000</v>
      </c>
      <c r="C93" s="4"/>
      <c r="D93" s="5"/>
      <c r="E93" s="157" t="s">
        <v>246</v>
      </c>
      <c r="F93" s="4"/>
      <c r="G93" s="5"/>
      <c r="H93" s="156" t="str">
        <f>IF(H91&gt;=SETUP!$C$13,"✅ TARGET RAGGIUNTO","⚠ sotto target")</f>
        <v>✅ TARGET RAGGIUNTO</v>
      </c>
      <c r="I93" s="4"/>
      <c r="J93" s="5"/>
      <c r="K93" s="158" t="s">
        <v>247</v>
      </c>
      <c r="L93" s="4"/>
      <c r="M93" s="5"/>
      <c r="N93" s="1"/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1"/>
      <c r="B96" s="73" t="s">
        <v>248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1"/>
      <c r="B97" s="24" t="s">
        <v>249</v>
      </c>
      <c r="C97" s="26" t="s">
        <v>201</v>
      </c>
      <c r="D97" s="26" t="s">
        <v>202</v>
      </c>
      <c r="E97" s="26" t="s">
        <v>203</v>
      </c>
      <c r="F97" s="26" t="s">
        <v>204</v>
      </c>
      <c r="G97" s="26" t="s">
        <v>205</v>
      </c>
      <c r="H97" s="26" t="s">
        <v>206</v>
      </c>
      <c r="I97" s="26" t="s">
        <v>207</v>
      </c>
      <c r="J97" s="26" t="s">
        <v>208</v>
      </c>
      <c r="K97" s="26" t="s">
        <v>209</v>
      </c>
      <c r="L97" s="26" t="s">
        <v>210</v>
      </c>
      <c r="M97" s="26" t="s">
        <v>211</v>
      </c>
      <c r="N97" s="26" t="s">
        <v>212</v>
      </c>
      <c r="O97" s="159" t="s">
        <v>213</v>
      </c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1"/>
      <c r="B98" s="62" t="str">
        <f>SETUP!$E$18</f>
        <v>PAC 1 — Mediolanum Cina</v>
      </c>
      <c r="C98" s="128">
        <f t="shared" ref="C98:C112" si="15">IFERROR(SUMIFS(INDIRECT("GENNAIO!C82:C91"),INDIRECT("GENNAIO!B82:B91"),$B98),0)</f>
        <v>75</v>
      </c>
      <c r="D98" s="128">
        <f t="shared" ref="D98:D112" si="16">IFERROR(SUMIFS(INDIRECT("FEBBRAIO!C82:C91"),INDIRECT("FEBBRAIO!B82:B91"),$B98),0)</f>
        <v>75</v>
      </c>
      <c r="E98" s="128">
        <f t="shared" ref="E98:E112" si="17">IFERROR(SUMIFS(INDIRECT("MARZO!C82:C91"),INDIRECT("MARZO!B82:B91"),$B98),0)</f>
        <v>75</v>
      </c>
      <c r="F98" s="128">
        <f t="shared" ref="F98:F112" si="18">IFERROR(SUMIFS(INDIRECT("APRILE!C82:C91"),INDIRECT("APRILE!B82:B91"),$B98),0)</f>
        <v>75</v>
      </c>
      <c r="G98" s="128">
        <f t="shared" ref="G98:G112" si="19">IFERROR(SUMIFS(INDIRECT("MAGGIO!C82:C91"),INDIRECT("MAGGIO!B82:B91"),$B98),0)</f>
        <v>75</v>
      </c>
      <c r="H98" s="128">
        <f t="shared" ref="H98:H112" si="20">IFERROR(SUMIFS(INDIRECT("GIUGNO!C82:C91"),INDIRECT("GIUGNO!B82:B91"),$B98),0)</f>
        <v>75</v>
      </c>
      <c r="I98" s="128">
        <f t="shared" ref="I98:I112" si="21">IFERROR(SUMIFS(INDIRECT("LUGLIO!C82:C91"),INDIRECT("LUGLIO!B82:B91"),$B98),0)</f>
        <v>75</v>
      </c>
      <c r="J98" s="128">
        <f t="shared" ref="J98:J112" si="22">IFERROR(SUMIFS(INDIRECT("AGOSTO!C82:C91"),INDIRECT("AGOSTO!B82:B91"),$B98),0)</f>
        <v>75</v>
      </c>
      <c r="K98" s="128">
        <f t="shared" ref="K98:K112" si="23">IFERROR(SUMIFS(INDIRECT("SETTEMBRE!C82:C91"),INDIRECT("SETTEMBRE!B82:B91"),$B98),0)</f>
        <v>75</v>
      </c>
      <c r="L98" s="128">
        <f t="shared" ref="L98:L112" si="24">IFERROR(SUMIFS(INDIRECT("OTTOBRE!C82:C91"),INDIRECT("OTTOBRE!B82:B91"),$B98),0)</f>
        <v>75</v>
      </c>
      <c r="M98" s="128">
        <f t="shared" ref="M98:M112" si="25">IFERROR(SUMIFS(INDIRECT("NOVEMBRE!C82:C91"),INDIRECT("NOVEMBRE!B82:B91"),$B98),0)</f>
        <v>75</v>
      </c>
      <c r="N98" s="128">
        <f t="shared" ref="N98:N112" si="26">IFERROR(SUMIFS(INDIRECT("DICEMBRE!C82:C91"),INDIRECT("DICEMBRE!B82:B91"),$B98),0)</f>
        <v>75</v>
      </c>
      <c r="O98" s="160">
        <f t="shared" ref="O98:O112" si="27">SUM(C98:N98)</f>
        <v>900</v>
      </c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1"/>
      <c r="B99" s="62" t="str">
        <f>SETUP!$E$19</f>
        <v>PAC 2 — Mediolanum India</v>
      </c>
      <c r="C99" s="128">
        <f t="shared" si="15"/>
        <v>75</v>
      </c>
      <c r="D99" s="128">
        <f t="shared" si="16"/>
        <v>75</v>
      </c>
      <c r="E99" s="128">
        <f t="shared" si="17"/>
        <v>75</v>
      </c>
      <c r="F99" s="128">
        <f t="shared" si="18"/>
        <v>75</v>
      </c>
      <c r="G99" s="128">
        <f t="shared" si="19"/>
        <v>75</v>
      </c>
      <c r="H99" s="128">
        <f t="shared" si="20"/>
        <v>75</v>
      </c>
      <c r="I99" s="128">
        <f t="shared" si="21"/>
        <v>75</v>
      </c>
      <c r="J99" s="128">
        <f t="shared" si="22"/>
        <v>75</v>
      </c>
      <c r="K99" s="128">
        <f t="shared" si="23"/>
        <v>75</v>
      </c>
      <c r="L99" s="128">
        <f t="shared" si="24"/>
        <v>75</v>
      </c>
      <c r="M99" s="128">
        <f t="shared" si="25"/>
        <v>75</v>
      </c>
      <c r="N99" s="128">
        <f t="shared" si="26"/>
        <v>75</v>
      </c>
      <c r="O99" s="160">
        <f t="shared" si="27"/>
        <v>900</v>
      </c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75" customHeight="1">
      <c r="A100" s="1"/>
      <c r="B100" s="62" t="str">
        <f>SETUP!$E$20</f>
        <v>FONDO EMERGENZA</v>
      </c>
      <c r="C100" s="128">
        <f t="shared" si="15"/>
        <v>0</v>
      </c>
      <c r="D100" s="128">
        <f t="shared" si="16"/>
        <v>0</v>
      </c>
      <c r="E100" s="128">
        <f t="shared" si="17"/>
        <v>0</v>
      </c>
      <c r="F100" s="128">
        <f t="shared" si="18"/>
        <v>0</v>
      </c>
      <c r="G100" s="128">
        <f t="shared" si="19"/>
        <v>0</v>
      </c>
      <c r="H100" s="128">
        <f t="shared" si="20"/>
        <v>0</v>
      </c>
      <c r="I100" s="128">
        <f t="shared" si="21"/>
        <v>0</v>
      </c>
      <c r="J100" s="128">
        <f t="shared" si="22"/>
        <v>0</v>
      </c>
      <c r="K100" s="128">
        <f t="shared" si="23"/>
        <v>0</v>
      </c>
      <c r="L100" s="128">
        <f t="shared" si="24"/>
        <v>0</v>
      </c>
      <c r="M100" s="128">
        <f t="shared" si="25"/>
        <v>0</v>
      </c>
      <c r="N100" s="128">
        <f t="shared" si="26"/>
        <v>0</v>
      </c>
      <c r="O100" s="160">
        <f t="shared" si="27"/>
        <v>0</v>
      </c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7.5" customHeight="1">
      <c r="A101" s="1"/>
      <c r="B101" s="62" t="str">
        <f>SETUP!$E$21</f>
        <v>VACANZE</v>
      </c>
      <c r="C101" s="128">
        <f t="shared" si="15"/>
        <v>0</v>
      </c>
      <c r="D101" s="128">
        <f t="shared" si="16"/>
        <v>0</v>
      </c>
      <c r="E101" s="128">
        <f t="shared" si="17"/>
        <v>0</v>
      </c>
      <c r="F101" s="128">
        <f t="shared" si="18"/>
        <v>0</v>
      </c>
      <c r="G101" s="128">
        <f t="shared" si="19"/>
        <v>0</v>
      </c>
      <c r="H101" s="128">
        <f t="shared" si="20"/>
        <v>0</v>
      </c>
      <c r="I101" s="128">
        <f t="shared" si="21"/>
        <v>0</v>
      </c>
      <c r="J101" s="128">
        <f t="shared" si="22"/>
        <v>0</v>
      </c>
      <c r="K101" s="128">
        <f t="shared" si="23"/>
        <v>0</v>
      </c>
      <c r="L101" s="128">
        <f t="shared" si="24"/>
        <v>0</v>
      </c>
      <c r="M101" s="128">
        <f t="shared" si="25"/>
        <v>0</v>
      </c>
      <c r="N101" s="128">
        <f t="shared" si="26"/>
        <v>0</v>
      </c>
      <c r="O101" s="160">
        <f t="shared" si="27"/>
        <v>0</v>
      </c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"/>
      <c r="B102" s="62" t="str">
        <f>SETUP!$E$22</f>
        <v>PENSIONE</v>
      </c>
      <c r="C102" s="128">
        <f t="shared" si="15"/>
        <v>0</v>
      </c>
      <c r="D102" s="128">
        <f t="shared" si="16"/>
        <v>0</v>
      </c>
      <c r="E102" s="128">
        <f t="shared" si="17"/>
        <v>0</v>
      </c>
      <c r="F102" s="128">
        <f t="shared" si="18"/>
        <v>0</v>
      </c>
      <c r="G102" s="128">
        <f t="shared" si="19"/>
        <v>0</v>
      </c>
      <c r="H102" s="128">
        <f t="shared" si="20"/>
        <v>0</v>
      </c>
      <c r="I102" s="128">
        <f t="shared" si="21"/>
        <v>0</v>
      </c>
      <c r="J102" s="128">
        <f t="shared" si="22"/>
        <v>0</v>
      </c>
      <c r="K102" s="128">
        <f t="shared" si="23"/>
        <v>0</v>
      </c>
      <c r="L102" s="128">
        <f t="shared" si="24"/>
        <v>0</v>
      </c>
      <c r="M102" s="128">
        <f t="shared" si="25"/>
        <v>0</v>
      </c>
      <c r="N102" s="128">
        <f t="shared" si="26"/>
        <v>0</v>
      </c>
      <c r="O102" s="160">
        <f t="shared" si="27"/>
        <v>0</v>
      </c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1.5" customHeight="1">
      <c r="A103" s="1"/>
      <c r="B103" s="62" t="str">
        <f>SETUP!$E$23</f>
        <v>ALTRO</v>
      </c>
      <c r="C103" s="128">
        <f t="shared" si="15"/>
        <v>0</v>
      </c>
      <c r="D103" s="128">
        <f t="shared" si="16"/>
        <v>0</v>
      </c>
      <c r="E103" s="128">
        <f t="shared" si="17"/>
        <v>0</v>
      </c>
      <c r="F103" s="128">
        <f t="shared" si="18"/>
        <v>0</v>
      </c>
      <c r="G103" s="128">
        <f t="shared" si="19"/>
        <v>0</v>
      </c>
      <c r="H103" s="128">
        <f t="shared" si="20"/>
        <v>0</v>
      </c>
      <c r="I103" s="128">
        <f t="shared" si="21"/>
        <v>0</v>
      </c>
      <c r="J103" s="128">
        <f t="shared" si="22"/>
        <v>0</v>
      </c>
      <c r="K103" s="128">
        <f t="shared" si="23"/>
        <v>0</v>
      </c>
      <c r="L103" s="128">
        <f t="shared" si="24"/>
        <v>0</v>
      </c>
      <c r="M103" s="128">
        <f t="shared" si="25"/>
        <v>0</v>
      </c>
      <c r="N103" s="128">
        <f t="shared" si="26"/>
        <v>0</v>
      </c>
      <c r="O103" s="160">
        <f t="shared" si="27"/>
        <v>0</v>
      </c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62" t="str">
        <f>SETUP!$E$24</f>
        <v>Polizza Vita Mediolanum</v>
      </c>
      <c r="C104" s="128">
        <f t="shared" si="15"/>
        <v>50</v>
      </c>
      <c r="D104" s="128">
        <f t="shared" si="16"/>
        <v>50</v>
      </c>
      <c r="E104" s="128">
        <f t="shared" si="17"/>
        <v>50</v>
      </c>
      <c r="F104" s="128">
        <f t="shared" si="18"/>
        <v>50</v>
      </c>
      <c r="G104" s="128">
        <f t="shared" si="19"/>
        <v>50</v>
      </c>
      <c r="H104" s="128">
        <f t="shared" si="20"/>
        <v>50</v>
      </c>
      <c r="I104" s="128">
        <f t="shared" si="21"/>
        <v>50</v>
      </c>
      <c r="J104" s="128">
        <f t="shared" si="22"/>
        <v>50</v>
      </c>
      <c r="K104" s="128">
        <f t="shared" si="23"/>
        <v>50</v>
      </c>
      <c r="L104" s="128">
        <f t="shared" si="24"/>
        <v>50</v>
      </c>
      <c r="M104" s="128">
        <f t="shared" si="25"/>
        <v>50</v>
      </c>
      <c r="N104" s="128">
        <f t="shared" si="26"/>
        <v>50</v>
      </c>
      <c r="O104" s="160">
        <f t="shared" si="27"/>
        <v>600</v>
      </c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1"/>
      <c r="B105" s="62" t="str">
        <f>SETUP!$E$25</f>
        <v>QUOTA SOCIO — conguaglio</v>
      </c>
      <c r="C105" s="128">
        <f t="shared" si="15"/>
        <v>50.8365</v>
      </c>
      <c r="D105" s="128">
        <f t="shared" si="16"/>
        <v>50.8365</v>
      </c>
      <c r="E105" s="128">
        <f t="shared" si="17"/>
        <v>264.3498</v>
      </c>
      <c r="F105" s="128">
        <f t="shared" si="18"/>
        <v>376.1901</v>
      </c>
      <c r="G105" s="128">
        <f t="shared" si="19"/>
        <v>50.8365</v>
      </c>
      <c r="H105" s="128">
        <f t="shared" si="20"/>
        <v>0</v>
      </c>
      <c r="I105" s="128">
        <f t="shared" si="21"/>
        <v>0</v>
      </c>
      <c r="J105" s="128">
        <f t="shared" si="22"/>
        <v>0</v>
      </c>
      <c r="K105" s="128">
        <f t="shared" si="23"/>
        <v>0</v>
      </c>
      <c r="L105" s="128">
        <f t="shared" si="24"/>
        <v>0</v>
      </c>
      <c r="M105" s="128">
        <f t="shared" si="25"/>
        <v>0</v>
      </c>
      <c r="N105" s="128">
        <f t="shared" si="26"/>
        <v>0</v>
      </c>
      <c r="O105" s="160">
        <f t="shared" si="27"/>
        <v>793.0494</v>
      </c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/>
      <c r="B106" s="62" t="str">
        <f>SETUP!$E$26</f>
        <v>(vuoto — aggiungi qui)</v>
      </c>
      <c r="C106" s="128">
        <f t="shared" si="15"/>
        <v>0</v>
      </c>
      <c r="D106" s="128">
        <f t="shared" si="16"/>
        <v>0</v>
      </c>
      <c r="E106" s="128">
        <f t="shared" si="17"/>
        <v>0</v>
      </c>
      <c r="F106" s="128">
        <f t="shared" si="18"/>
        <v>0</v>
      </c>
      <c r="G106" s="128">
        <f t="shared" si="19"/>
        <v>0</v>
      </c>
      <c r="H106" s="128">
        <f t="shared" si="20"/>
        <v>0</v>
      </c>
      <c r="I106" s="128">
        <f t="shared" si="21"/>
        <v>0</v>
      </c>
      <c r="J106" s="128">
        <f t="shared" si="22"/>
        <v>0</v>
      </c>
      <c r="K106" s="128">
        <f t="shared" si="23"/>
        <v>0</v>
      </c>
      <c r="L106" s="128">
        <f t="shared" si="24"/>
        <v>0</v>
      </c>
      <c r="M106" s="128">
        <f t="shared" si="25"/>
        <v>0</v>
      </c>
      <c r="N106" s="128">
        <f t="shared" si="26"/>
        <v>0</v>
      </c>
      <c r="O106" s="160">
        <f t="shared" si="27"/>
        <v>0</v>
      </c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1"/>
      <c r="B107" s="62" t="str">
        <f>SETUP!$E$27</f>
        <v>(vuoto — aggiungi qui)</v>
      </c>
      <c r="C107" s="128">
        <f t="shared" si="15"/>
        <v>0</v>
      </c>
      <c r="D107" s="128">
        <f t="shared" si="16"/>
        <v>0</v>
      </c>
      <c r="E107" s="128">
        <f t="shared" si="17"/>
        <v>0</v>
      </c>
      <c r="F107" s="128">
        <f t="shared" si="18"/>
        <v>0</v>
      </c>
      <c r="G107" s="128">
        <f t="shared" si="19"/>
        <v>0</v>
      </c>
      <c r="H107" s="128">
        <f t="shared" si="20"/>
        <v>0</v>
      </c>
      <c r="I107" s="128">
        <f t="shared" si="21"/>
        <v>0</v>
      </c>
      <c r="J107" s="128">
        <f t="shared" si="22"/>
        <v>0</v>
      </c>
      <c r="K107" s="128">
        <f t="shared" si="23"/>
        <v>0</v>
      </c>
      <c r="L107" s="128">
        <f t="shared" si="24"/>
        <v>0</v>
      </c>
      <c r="M107" s="128">
        <f t="shared" si="25"/>
        <v>0</v>
      </c>
      <c r="N107" s="128">
        <f t="shared" si="26"/>
        <v>0</v>
      </c>
      <c r="O107" s="160">
        <f t="shared" si="27"/>
        <v>0</v>
      </c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75" customHeight="1">
      <c r="A108" s="1"/>
      <c r="B108" s="62" t="str">
        <f>SETUP!$E$28</f>
        <v>(vuoto — aggiungi qui)</v>
      </c>
      <c r="C108" s="128">
        <f t="shared" si="15"/>
        <v>0</v>
      </c>
      <c r="D108" s="128">
        <f t="shared" si="16"/>
        <v>0</v>
      </c>
      <c r="E108" s="128">
        <f t="shared" si="17"/>
        <v>0</v>
      </c>
      <c r="F108" s="128">
        <f t="shared" si="18"/>
        <v>0</v>
      </c>
      <c r="G108" s="128">
        <f t="shared" si="19"/>
        <v>0</v>
      </c>
      <c r="H108" s="128">
        <f t="shared" si="20"/>
        <v>0</v>
      </c>
      <c r="I108" s="128">
        <f t="shared" si="21"/>
        <v>0</v>
      </c>
      <c r="J108" s="128">
        <f t="shared" si="22"/>
        <v>0</v>
      </c>
      <c r="K108" s="128">
        <f t="shared" si="23"/>
        <v>0</v>
      </c>
      <c r="L108" s="128">
        <f t="shared" si="24"/>
        <v>0</v>
      </c>
      <c r="M108" s="128">
        <f t="shared" si="25"/>
        <v>0</v>
      </c>
      <c r="N108" s="128">
        <f t="shared" si="26"/>
        <v>0</v>
      </c>
      <c r="O108" s="160">
        <f t="shared" si="27"/>
        <v>0</v>
      </c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1"/>
      <c r="B109" s="62" t="str">
        <f>SETUP!$E$29</f>
        <v>(vuoto — aggiungi qui)</v>
      </c>
      <c r="C109" s="128">
        <f t="shared" si="15"/>
        <v>0</v>
      </c>
      <c r="D109" s="128">
        <f t="shared" si="16"/>
        <v>0</v>
      </c>
      <c r="E109" s="128">
        <f t="shared" si="17"/>
        <v>0</v>
      </c>
      <c r="F109" s="128">
        <f t="shared" si="18"/>
        <v>0</v>
      </c>
      <c r="G109" s="128">
        <f t="shared" si="19"/>
        <v>0</v>
      </c>
      <c r="H109" s="128">
        <f t="shared" si="20"/>
        <v>0</v>
      </c>
      <c r="I109" s="128">
        <f t="shared" si="21"/>
        <v>0</v>
      </c>
      <c r="J109" s="128">
        <f t="shared" si="22"/>
        <v>0</v>
      </c>
      <c r="K109" s="128">
        <f t="shared" si="23"/>
        <v>0</v>
      </c>
      <c r="L109" s="128">
        <f t="shared" si="24"/>
        <v>0</v>
      </c>
      <c r="M109" s="128">
        <f t="shared" si="25"/>
        <v>0</v>
      </c>
      <c r="N109" s="128">
        <f t="shared" si="26"/>
        <v>0</v>
      </c>
      <c r="O109" s="160">
        <f t="shared" si="27"/>
        <v>0</v>
      </c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75" customHeight="1">
      <c r="A110" s="1"/>
      <c r="B110" s="62" t="str">
        <f>SETUP!$E$30</f>
        <v>(vuoto — aggiungi qui)</v>
      </c>
      <c r="C110" s="128">
        <f t="shared" si="15"/>
        <v>0</v>
      </c>
      <c r="D110" s="128">
        <f t="shared" si="16"/>
        <v>0</v>
      </c>
      <c r="E110" s="128">
        <f t="shared" si="17"/>
        <v>0</v>
      </c>
      <c r="F110" s="128">
        <f t="shared" si="18"/>
        <v>0</v>
      </c>
      <c r="G110" s="128">
        <f t="shared" si="19"/>
        <v>0</v>
      </c>
      <c r="H110" s="128">
        <f t="shared" si="20"/>
        <v>0</v>
      </c>
      <c r="I110" s="128">
        <f t="shared" si="21"/>
        <v>0</v>
      </c>
      <c r="J110" s="128">
        <f t="shared" si="22"/>
        <v>0</v>
      </c>
      <c r="K110" s="128">
        <f t="shared" si="23"/>
        <v>0</v>
      </c>
      <c r="L110" s="128">
        <f t="shared" si="24"/>
        <v>0</v>
      </c>
      <c r="M110" s="128">
        <f t="shared" si="25"/>
        <v>0</v>
      </c>
      <c r="N110" s="128">
        <f t="shared" si="26"/>
        <v>0</v>
      </c>
      <c r="O110" s="160">
        <f t="shared" si="27"/>
        <v>0</v>
      </c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75" customHeight="1">
      <c r="A111" s="1"/>
      <c r="B111" s="62" t="str">
        <f>SETUP!$E$31</f>
        <v>(vuoto — aggiungi qui)</v>
      </c>
      <c r="C111" s="128">
        <f t="shared" si="15"/>
        <v>0</v>
      </c>
      <c r="D111" s="128">
        <f t="shared" si="16"/>
        <v>0</v>
      </c>
      <c r="E111" s="128">
        <f t="shared" si="17"/>
        <v>0</v>
      </c>
      <c r="F111" s="128">
        <f t="shared" si="18"/>
        <v>0</v>
      </c>
      <c r="G111" s="128">
        <f t="shared" si="19"/>
        <v>0</v>
      </c>
      <c r="H111" s="128">
        <f t="shared" si="20"/>
        <v>0</v>
      </c>
      <c r="I111" s="128">
        <f t="shared" si="21"/>
        <v>0</v>
      </c>
      <c r="J111" s="128">
        <f t="shared" si="22"/>
        <v>0</v>
      </c>
      <c r="K111" s="128">
        <f t="shared" si="23"/>
        <v>0</v>
      </c>
      <c r="L111" s="128">
        <f t="shared" si="24"/>
        <v>0</v>
      </c>
      <c r="M111" s="128">
        <f t="shared" si="25"/>
        <v>0</v>
      </c>
      <c r="N111" s="128">
        <f t="shared" si="26"/>
        <v>0</v>
      </c>
      <c r="O111" s="160">
        <f t="shared" si="27"/>
        <v>0</v>
      </c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75" customHeight="1">
      <c r="A112" s="1"/>
      <c r="B112" s="62" t="str">
        <f>SETUP!$E$32</f>
        <v>(vuoto — aggiungi qui)</v>
      </c>
      <c r="C112" s="128">
        <f t="shared" si="15"/>
        <v>0</v>
      </c>
      <c r="D112" s="128">
        <f t="shared" si="16"/>
        <v>0</v>
      </c>
      <c r="E112" s="128">
        <f t="shared" si="17"/>
        <v>0</v>
      </c>
      <c r="F112" s="128">
        <f t="shared" si="18"/>
        <v>0</v>
      </c>
      <c r="G112" s="128">
        <f t="shared" si="19"/>
        <v>0</v>
      </c>
      <c r="H112" s="128">
        <f t="shared" si="20"/>
        <v>0</v>
      </c>
      <c r="I112" s="128">
        <f t="shared" si="21"/>
        <v>0</v>
      </c>
      <c r="J112" s="128">
        <f t="shared" si="22"/>
        <v>0</v>
      </c>
      <c r="K112" s="128">
        <f t="shared" si="23"/>
        <v>0</v>
      </c>
      <c r="L112" s="128">
        <f t="shared" si="24"/>
        <v>0</v>
      </c>
      <c r="M112" s="128">
        <f t="shared" si="25"/>
        <v>0</v>
      </c>
      <c r="N112" s="128">
        <f t="shared" si="26"/>
        <v>0</v>
      </c>
      <c r="O112" s="160">
        <f t="shared" si="27"/>
        <v>0</v>
      </c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75" customHeight="1">
      <c r="A113" s="1"/>
      <c r="B113" s="48" t="s">
        <v>250</v>
      </c>
      <c r="C113" s="161">
        <f t="shared" ref="C113:O113" si="28">SUM(C98:C112)</f>
        <v>250.8365</v>
      </c>
      <c r="D113" s="161">
        <f t="shared" si="28"/>
        <v>250.8365</v>
      </c>
      <c r="E113" s="161">
        <f t="shared" si="28"/>
        <v>464.3498</v>
      </c>
      <c r="F113" s="161">
        <f t="shared" si="28"/>
        <v>576.1901</v>
      </c>
      <c r="G113" s="161">
        <f t="shared" si="28"/>
        <v>250.8365</v>
      </c>
      <c r="H113" s="161">
        <f t="shared" si="28"/>
        <v>200</v>
      </c>
      <c r="I113" s="161">
        <f t="shared" si="28"/>
        <v>200</v>
      </c>
      <c r="J113" s="161">
        <f t="shared" si="28"/>
        <v>200</v>
      </c>
      <c r="K113" s="161">
        <f t="shared" si="28"/>
        <v>200</v>
      </c>
      <c r="L113" s="161">
        <f t="shared" si="28"/>
        <v>200</v>
      </c>
      <c r="M113" s="161">
        <f t="shared" si="28"/>
        <v>200</v>
      </c>
      <c r="N113" s="161">
        <f t="shared" si="28"/>
        <v>200</v>
      </c>
      <c r="O113" s="162">
        <f t="shared" si="28"/>
        <v>3193.0494</v>
      </c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75" customHeight="1">
      <c r="A115" s="1"/>
      <c r="B115" s="163" t="s">
        <v>251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75" customHeight="1">
      <c r="A116" s="1"/>
      <c r="B116" s="24" t="s">
        <v>249</v>
      </c>
      <c r="C116" s="25" t="s">
        <v>252</v>
      </c>
      <c r="D116" s="25" t="s">
        <v>253</v>
      </c>
      <c r="E116" s="25" t="s">
        <v>254</v>
      </c>
      <c r="F116" s="25" t="s">
        <v>255</v>
      </c>
      <c r="G116" s="26" t="s">
        <v>256</v>
      </c>
      <c r="H116" s="146"/>
      <c r="I116" s="146"/>
      <c r="J116" s="146"/>
      <c r="K116" s="146"/>
      <c r="L116" s="146"/>
      <c r="M116" s="146"/>
      <c r="N116" s="146"/>
      <c r="O116" s="146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75" customHeight="1">
      <c r="A117" s="1"/>
      <c r="B117" s="62" t="str">
        <f>SETUP!$E$18</f>
        <v>PAC 1 — Mediolanum Cina</v>
      </c>
      <c r="C117" s="164">
        <f t="shared" ref="C117:C131" si="29">O98</f>
        <v>900</v>
      </c>
      <c r="D117" s="165">
        <f>SETUP!$F$18</f>
        <v>900</v>
      </c>
      <c r="E117" s="166">
        <f t="shared" ref="E117:E131" si="30">IFERROR(C117/D117,0)</f>
        <v>1</v>
      </c>
      <c r="F117" s="165">
        <f t="shared" ref="F117:F131" si="31">IFERROR(MAX(0,D117-C117),0)</f>
        <v>0</v>
      </c>
      <c r="G117" s="167" t="str">
        <f t="shared" ref="G117:G131" si="32">IF(D117=0,"—",IF(C117&gt;=D117,"🟢 RAGGIUNTO",IF(C117&gt;=D117*0.7,"🟡 IN CORSA","🔴 IN RITARDO")))</f>
        <v>🟢 RAGGIUNTO</v>
      </c>
      <c r="H117" s="146"/>
      <c r="I117" s="146"/>
      <c r="J117" s="146"/>
      <c r="K117" s="146"/>
      <c r="L117" s="146"/>
      <c r="M117" s="146"/>
      <c r="N117" s="146"/>
      <c r="O117" s="146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75" customHeight="1">
      <c r="A118" s="1"/>
      <c r="B118" s="62" t="str">
        <f>SETUP!$E$19</f>
        <v>PAC 2 — Mediolanum India</v>
      </c>
      <c r="C118" s="164">
        <f t="shared" si="29"/>
        <v>900</v>
      </c>
      <c r="D118" s="165">
        <f>SETUP!$F$19</f>
        <v>900</v>
      </c>
      <c r="E118" s="166">
        <f t="shared" si="30"/>
        <v>1</v>
      </c>
      <c r="F118" s="165">
        <f t="shared" si="31"/>
        <v>0</v>
      </c>
      <c r="G118" s="167" t="str">
        <f t="shared" si="32"/>
        <v>🟢 RAGGIUNTO</v>
      </c>
      <c r="H118" s="146"/>
      <c r="I118" s="146"/>
      <c r="J118" s="146"/>
      <c r="K118" s="146"/>
      <c r="L118" s="146"/>
      <c r="M118" s="146"/>
      <c r="N118" s="146"/>
      <c r="O118" s="146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75" customHeight="1">
      <c r="A119" s="1"/>
      <c r="B119" s="62" t="str">
        <f>SETUP!$E$20</f>
        <v>FONDO EMERGENZA</v>
      </c>
      <c r="C119" s="164">
        <f t="shared" si="29"/>
        <v>0</v>
      </c>
      <c r="D119" s="165">
        <f>SETUP!$F$20</f>
        <v>6000</v>
      </c>
      <c r="E119" s="166">
        <f t="shared" si="30"/>
        <v>0</v>
      </c>
      <c r="F119" s="165">
        <f t="shared" si="31"/>
        <v>6000</v>
      </c>
      <c r="G119" s="167" t="str">
        <f t="shared" si="32"/>
        <v>🔴 IN RITARDO</v>
      </c>
      <c r="H119" s="146"/>
      <c r="I119" s="146"/>
      <c r="J119" s="146"/>
      <c r="K119" s="146"/>
      <c r="L119" s="146"/>
      <c r="M119" s="146"/>
      <c r="N119" s="146"/>
      <c r="O119" s="146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75" customHeight="1">
      <c r="A120" s="1"/>
      <c r="B120" s="62" t="str">
        <f>SETUP!$E$21</f>
        <v>VACANZE</v>
      </c>
      <c r="C120" s="164">
        <f t="shared" si="29"/>
        <v>0</v>
      </c>
      <c r="D120" s="165">
        <f>SETUP!$F$21</f>
        <v>1200</v>
      </c>
      <c r="E120" s="166">
        <f t="shared" si="30"/>
        <v>0</v>
      </c>
      <c r="F120" s="165">
        <f t="shared" si="31"/>
        <v>1200</v>
      </c>
      <c r="G120" s="167" t="str">
        <f t="shared" si="32"/>
        <v>🔴 IN RITARDO</v>
      </c>
      <c r="H120" s="146"/>
      <c r="I120" s="146"/>
      <c r="J120" s="146"/>
      <c r="K120" s="146"/>
      <c r="L120" s="146"/>
      <c r="M120" s="146"/>
      <c r="N120" s="146"/>
      <c r="O120" s="146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75" customHeight="1">
      <c r="A121" s="1"/>
      <c r="B121" s="62" t="str">
        <f>SETUP!$E$22</f>
        <v>PENSIONE</v>
      </c>
      <c r="C121" s="164">
        <f t="shared" si="29"/>
        <v>0</v>
      </c>
      <c r="D121" s="165">
        <f>SETUP!$F$22</f>
        <v>1200</v>
      </c>
      <c r="E121" s="166">
        <f t="shared" si="30"/>
        <v>0</v>
      </c>
      <c r="F121" s="165">
        <f t="shared" si="31"/>
        <v>1200</v>
      </c>
      <c r="G121" s="167" t="str">
        <f t="shared" si="32"/>
        <v>🔴 IN RITARDO</v>
      </c>
      <c r="H121" s="146"/>
      <c r="I121" s="146"/>
      <c r="J121" s="146"/>
      <c r="K121" s="146"/>
      <c r="L121" s="146"/>
      <c r="M121" s="146"/>
      <c r="N121" s="146"/>
      <c r="O121" s="146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75" customHeight="1">
      <c r="A122" s="1"/>
      <c r="B122" s="62" t="str">
        <f>SETUP!$E$23</f>
        <v>ALTRO</v>
      </c>
      <c r="C122" s="164">
        <f t="shared" si="29"/>
        <v>0</v>
      </c>
      <c r="D122" s="165" t="str">
        <f>SETUP!$F$23</f>
        <v/>
      </c>
      <c r="E122" s="166">
        <f t="shared" si="30"/>
        <v>0</v>
      </c>
      <c r="F122" s="165">
        <f t="shared" si="31"/>
        <v>0</v>
      </c>
      <c r="G122" s="167" t="str">
        <f t="shared" si="32"/>
        <v>—</v>
      </c>
      <c r="H122" s="146"/>
      <c r="I122" s="146"/>
      <c r="J122" s="146"/>
      <c r="K122" s="146"/>
      <c r="L122" s="146"/>
      <c r="M122" s="146"/>
      <c r="N122" s="146"/>
      <c r="O122" s="146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75" customHeight="1">
      <c r="A123" s="1"/>
      <c r="B123" s="62" t="str">
        <f>SETUP!$E$24</f>
        <v>Polizza Vita Mediolanum</v>
      </c>
      <c r="C123" s="164">
        <f t="shared" si="29"/>
        <v>600</v>
      </c>
      <c r="D123" s="165">
        <f>SETUP!$F$24</f>
        <v>600</v>
      </c>
      <c r="E123" s="166">
        <f t="shared" si="30"/>
        <v>1</v>
      </c>
      <c r="F123" s="165">
        <f t="shared" si="31"/>
        <v>0</v>
      </c>
      <c r="G123" s="167" t="str">
        <f t="shared" si="32"/>
        <v>🟢 RAGGIUNTO</v>
      </c>
      <c r="H123" s="146"/>
      <c r="I123" s="146"/>
      <c r="J123" s="146"/>
      <c r="K123" s="146"/>
      <c r="L123" s="146"/>
      <c r="M123" s="146"/>
      <c r="N123" s="146"/>
      <c r="O123" s="146"/>
      <c r="P123" s="1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75" customHeight="1">
      <c r="A124" s="1"/>
      <c r="B124" s="62" t="str">
        <f>SETUP!$E$25</f>
        <v>QUOTA SOCIO — conguaglio</v>
      </c>
      <c r="C124" s="164">
        <f t="shared" si="29"/>
        <v>793.0494</v>
      </c>
      <c r="D124" s="165" t="str">
        <f>SETUP!$F$25</f>
        <v/>
      </c>
      <c r="E124" s="166">
        <f t="shared" si="30"/>
        <v>0</v>
      </c>
      <c r="F124" s="165">
        <f t="shared" si="31"/>
        <v>0</v>
      </c>
      <c r="G124" s="167" t="str">
        <f t="shared" si="32"/>
        <v>—</v>
      </c>
      <c r="H124" s="146"/>
      <c r="I124" s="146"/>
      <c r="J124" s="146"/>
      <c r="K124" s="146"/>
      <c r="L124" s="146"/>
      <c r="M124" s="146"/>
      <c r="N124" s="146"/>
      <c r="O124" s="146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1"/>
      <c r="B125" s="62" t="str">
        <f>SETUP!$E$26</f>
        <v>(vuoto — aggiungi qui)</v>
      </c>
      <c r="C125" s="164">
        <f t="shared" si="29"/>
        <v>0</v>
      </c>
      <c r="D125" s="165" t="str">
        <f>SETUP!$F$26</f>
        <v/>
      </c>
      <c r="E125" s="166">
        <f t="shared" si="30"/>
        <v>0</v>
      </c>
      <c r="F125" s="165">
        <f t="shared" si="31"/>
        <v>0</v>
      </c>
      <c r="G125" s="167" t="str">
        <f t="shared" si="32"/>
        <v>—</v>
      </c>
      <c r="H125" s="146"/>
      <c r="I125" s="146"/>
      <c r="J125" s="146"/>
      <c r="K125" s="146"/>
      <c r="L125" s="146"/>
      <c r="M125" s="146"/>
      <c r="N125" s="146"/>
      <c r="O125" s="146"/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/>
      <c r="B126" s="62" t="str">
        <f>SETUP!$E$27</f>
        <v>(vuoto — aggiungi qui)</v>
      </c>
      <c r="C126" s="164">
        <f t="shared" si="29"/>
        <v>0</v>
      </c>
      <c r="D126" s="165" t="str">
        <f>SETUP!$F$27</f>
        <v/>
      </c>
      <c r="E126" s="166">
        <f t="shared" si="30"/>
        <v>0</v>
      </c>
      <c r="F126" s="165">
        <f t="shared" si="31"/>
        <v>0</v>
      </c>
      <c r="G126" s="167" t="str">
        <f t="shared" si="32"/>
        <v>—</v>
      </c>
      <c r="H126" s="146"/>
      <c r="I126" s="146"/>
      <c r="J126" s="146"/>
      <c r="K126" s="146"/>
      <c r="L126" s="146"/>
      <c r="M126" s="146"/>
      <c r="N126" s="146"/>
      <c r="O126" s="146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1"/>
      <c r="B127" s="62" t="str">
        <f>SETUP!$E$28</f>
        <v>(vuoto — aggiungi qui)</v>
      </c>
      <c r="C127" s="164">
        <f t="shared" si="29"/>
        <v>0</v>
      </c>
      <c r="D127" s="165" t="str">
        <f>SETUP!$F$28</f>
        <v/>
      </c>
      <c r="E127" s="166">
        <f t="shared" si="30"/>
        <v>0</v>
      </c>
      <c r="F127" s="165">
        <f t="shared" si="31"/>
        <v>0</v>
      </c>
      <c r="G127" s="167" t="str">
        <f t="shared" si="32"/>
        <v>—</v>
      </c>
      <c r="H127" s="146"/>
      <c r="I127" s="146"/>
      <c r="J127" s="146"/>
      <c r="K127" s="146"/>
      <c r="L127" s="146"/>
      <c r="M127" s="146"/>
      <c r="N127" s="146"/>
      <c r="O127" s="146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75" customHeight="1">
      <c r="A128" s="1"/>
      <c r="B128" s="62" t="str">
        <f>SETUP!$E$29</f>
        <v>(vuoto — aggiungi qui)</v>
      </c>
      <c r="C128" s="164">
        <f t="shared" si="29"/>
        <v>0</v>
      </c>
      <c r="D128" s="165" t="str">
        <f>SETUP!$F$29</f>
        <v/>
      </c>
      <c r="E128" s="166">
        <f t="shared" si="30"/>
        <v>0</v>
      </c>
      <c r="F128" s="165">
        <f t="shared" si="31"/>
        <v>0</v>
      </c>
      <c r="G128" s="167" t="str">
        <f t="shared" si="32"/>
        <v>—</v>
      </c>
      <c r="H128" s="146"/>
      <c r="I128" s="146"/>
      <c r="J128" s="146"/>
      <c r="K128" s="146"/>
      <c r="L128" s="146"/>
      <c r="M128" s="146"/>
      <c r="N128" s="146"/>
      <c r="O128" s="146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75" customHeight="1">
      <c r="A129" s="1"/>
      <c r="B129" s="62" t="str">
        <f>SETUP!$E$30</f>
        <v>(vuoto — aggiungi qui)</v>
      </c>
      <c r="C129" s="164">
        <f t="shared" si="29"/>
        <v>0</v>
      </c>
      <c r="D129" s="165" t="str">
        <f>SETUP!$F$30</f>
        <v/>
      </c>
      <c r="E129" s="166">
        <f t="shared" si="30"/>
        <v>0</v>
      </c>
      <c r="F129" s="165">
        <f t="shared" si="31"/>
        <v>0</v>
      </c>
      <c r="G129" s="167" t="str">
        <f t="shared" si="32"/>
        <v>—</v>
      </c>
      <c r="H129" s="146"/>
      <c r="I129" s="146"/>
      <c r="J129" s="146"/>
      <c r="K129" s="146"/>
      <c r="L129" s="146"/>
      <c r="M129" s="146"/>
      <c r="N129" s="146"/>
      <c r="O129" s="146"/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75" customHeight="1">
      <c r="A130" s="1"/>
      <c r="B130" s="62" t="str">
        <f>SETUP!$E$31</f>
        <v>(vuoto — aggiungi qui)</v>
      </c>
      <c r="C130" s="164">
        <f t="shared" si="29"/>
        <v>0</v>
      </c>
      <c r="D130" s="165" t="str">
        <f>SETUP!$F$31</f>
        <v/>
      </c>
      <c r="E130" s="166">
        <f t="shared" si="30"/>
        <v>0</v>
      </c>
      <c r="F130" s="165">
        <f t="shared" si="31"/>
        <v>0</v>
      </c>
      <c r="G130" s="167" t="str">
        <f t="shared" si="32"/>
        <v>—</v>
      </c>
      <c r="H130" s="146"/>
      <c r="I130" s="146"/>
      <c r="J130" s="146"/>
      <c r="K130" s="146"/>
      <c r="L130" s="146"/>
      <c r="M130" s="146"/>
      <c r="N130" s="146"/>
      <c r="O130" s="146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75" customHeight="1">
      <c r="A131" s="1"/>
      <c r="B131" s="62" t="str">
        <f>SETUP!$E$32</f>
        <v>(vuoto — aggiungi qui)</v>
      </c>
      <c r="C131" s="164">
        <f t="shared" si="29"/>
        <v>0</v>
      </c>
      <c r="D131" s="165" t="str">
        <f>SETUP!$F$32</f>
        <v/>
      </c>
      <c r="E131" s="166">
        <f t="shared" si="30"/>
        <v>0</v>
      </c>
      <c r="F131" s="165">
        <f t="shared" si="31"/>
        <v>0</v>
      </c>
      <c r="G131" s="167" t="str">
        <f t="shared" si="32"/>
        <v>—</v>
      </c>
      <c r="H131" s="146"/>
      <c r="I131" s="146"/>
      <c r="J131" s="146"/>
      <c r="K131" s="146"/>
      <c r="L131" s="146"/>
      <c r="M131" s="146"/>
      <c r="N131" s="146"/>
      <c r="O131" s="146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75" customHeight="1">
      <c r="A133" s="1"/>
      <c r="B133" s="53" t="s">
        <v>257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5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75" customHeight="1">
      <c r="A134" s="1"/>
      <c r="B134" s="168" t="s">
        <v>44</v>
      </c>
      <c r="C134" s="169" t="s">
        <v>258</v>
      </c>
      <c r="D134" s="169" t="s">
        <v>259</v>
      </c>
      <c r="E134" s="169" t="s">
        <v>260</v>
      </c>
      <c r="F134" s="169" t="s">
        <v>261</v>
      </c>
      <c r="G134" s="169" t="s">
        <v>262</v>
      </c>
      <c r="H134" s="169" t="s">
        <v>263</v>
      </c>
      <c r="I134" s="170" t="s">
        <v>256</v>
      </c>
      <c r="J134" s="146"/>
      <c r="K134" s="146"/>
      <c r="L134" s="146"/>
      <c r="M134" s="146"/>
      <c r="N134" s="146"/>
      <c r="O134" s="146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75" customHeight="1">
      <c r="A135" s="1"/>
      <c r="B135" s="62" t="str">
        <f>SETUP!$B$18</f>
        <v>SVAGO</v>
      </c>
      <c r="C135" s="171">
        <f>SETUP!$C$18</f>
        <v>100</v>
      </c>
      <c r="D135" s="165">
        <f t="shared" ref="D135:D149" si="33">C135*12</f>
        <v>1200</v>
      </c>
      <c r="E135" s="129">
        <f t="shared" ref="E135:E149" si="34">O40</f>
        <v>1933.3</v>
      </c>
      <c r="F135" s="128">
        <f t="shared" ref="F135:F149" si="35">IFERROR(E135/MONTH(TODAY()),0)</f>
        <v>386.66</v>
      </c>
      <c r="G135" s="172">
        <f t="shared" ref="G135:G149" si="36">C135-F135</f>
        <v>-286.66</v>
      </c>
      <c r="H135" s="173">
        <f t="shared" ref="H135:H150" si="37">IFERROR(F135/C135,0)</f>
        <v>3.8666</v>
      </c>
      <c r="I135" s="167" t="str">
        <f t="shared" ref="I135:I149" si="38">IF(C135=0,"—",IF(F135&lt;=C135*0.8,"🟢 OK",IF(F135&lt;=C135,"🟡 ATTENZIONE","🔴 SFORATO")))</f>
        <v>🔴 SFORATO</v>
      </c>
      <c r="J135" s="146"/>
      <c r="K135" s="146"/>
      <c r="L135" s="146"/>
      <c r="M135" s="146"/>
      <c r="N135" s="146"/>
      <c r="O135" s="146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75" customHeight="1">
      <c r="A136" s="1"/>
      <c r="B136" s="62" t="str">
        <f>SETUP!$B$19</f>
        <v>BUSINESS</v>
      </c>
      <c r="C136" s="171">
        <f>SETUP!$C$19</f>
        <v>140</v>
      </c>
      <c r="D136" s="165">
        <f t="shared" si="33"/>
        <v>1680</v>
      </c>
      <c r="E136" s="129">
        <f t="shared" si="34"/>
        <v>1932.26</v>
      </c>
      <c r="F136" s="128">
        <f t="shared" si="35"/>
        <v>386.452</v>
      </c>
      <c r="G136" s="172">
        <f t="shared" si="36"/>
        <v>-246.452</v>
      </c>
      <c r="H136" s="173">
        <f t="shared" si="37"/>
        <v>2.760371429</v>
      </c>
      <c r="I136" s="167" t="str">
        <f t="shared" si="38"/>
        <v>🔴 SFORATO</v>
      </c>
      <c r="J136" s="146"/>
      <c r="K136" s="146"/>
      <c r="L136" s="146"/>
      <c r="M136" s="146"/>
      <c r="N136" s="146"/>
      <c r="O136" s="146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75" customHeight="1">
      <c r="A137" s="1"/>
      <c r="B137" s="62" t="str">
        <f>SETUP!$B$20</f>
        <v>OBBLIGATORIE</v>
      </c>
      <c r="C137" s="171">
        <f>SETUP!$C$20</f>
        <v>395</v>
      </c>
      <c r="D137" s="165">
        <f t="shared" si="33"/>
        <v>4740</v>
      </c>
      <c r="E137" s="129">
        <f t="shared" si="34"/>
        <v>25</v>
      </c>
      <c r="F137" s="128">
        <f t="shared" si="35"/>
        <v>5</v>
      </c>
      <c r="G137" s="172">
        <f t="shared" si="36"/>
        <v>390</v>
      </c>
      <c r="H137" s="173">
        <f t="shared" si="37"/>
        <v>0.01265822785</v>
      </c>
      <c r="I137" s="167" t="str">
        <f t="shared" si="38"/>
        <v>🟢 OK</v>
      </c>
      <c r="J137" s="146"/>
      <c r="K137" s="146"/>
      <c r="L137" s="146"/>
      <c r="M137" s="146"/>
      <c r="N137" s="146"/>
      <c r="O137" s="146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75" customHeight="1">
      <c r="A138" s="1"/>
      <c r="B138" s="62" t="str">
        <f>SETUP!$B$21</f>
        <v>AUTO</v>
      </c>
      <c r="C138" s="171">
        <f>SETUP!$C$21</f>
        <v>75</v>
      </c>
      <c r="D138" s="165">
        <f t="shared" si="33"/>
        <v>900</v>
      </c>
      <c r="E138" s="129">
        <f t="shared" si="34"/>
        <v>1748.06</v>
      </c>
      <c r="F138" s="128">
        <f t="shared" si="35"/>
        <v>349.612</v>
      </c>
      <c r="G138" s="172">
        <f t="shared" si="36"/>
        <v>-274.612</v>
      </c>
      <c r="H138" s="173">
        <f t="shared" si="37"/>
        <v>4.661493333</v>
      </c>
      <c r="I138" s="167" t="str">
        <f t="shared" si="38"/>
        <v>🔴 SFORATO</v>
      </c>
      <c r="J138" s="146"/>
      <c r="K138" s="146"/>
      <c r="L138" s="146"/>
      <c r="M138" s="146"/>
      <c r="N138" s="146"/>
      <c r="O138" s="146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75" customHeight="1">
      <c r="A139" s="1"/>
      <c r="B139" s="62" t="str">
        <f>SETUP!$B$22</f>
        <v>CASA</v>
      </c>
      <c r="C139" s="171">
        <f>SETUP!$C$22</f>
        <v>0</v>
      </c>
      <c r="D139" s="165">
        <f t="shared" si="33"/>
        <v>0</v>
      </c>
      <c r="E139" s="129">
        <f t="shared" si="34"/>
        <v>0</v>
      </c>
      <c r="F139" s="128">
        <f t="shared" si="35"/>
        <v>0</v>
      </c>
      <c r="G139" s="172">
        <f t="shared" si="36"/>
        <v>0</v>
      </c>
      <c r="H139" s="173">
        <f t="shared" si="37"/>
        <v>0</v>
      </c>
      <c r="I139" s="167" t="str">
        <f t="shared" si="38"/>
        <v>—</v>
      </c>
      <c r="J139" s="146"/>
      <c r="K139" s="146"/>
      <c r="L139" s="146"/>
      <c r="M139" s="146"/>
      <c r="N139" s="146"/>
      <c r="O139" s="146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75" customHeight="1">
      <c r="A140" s="1"/>
      <c r="B140" s="62" t="str">
        <f>SETUP!$B$23</f>
        <v>ALIMENTARI</v>
      </c>
      <c r="C140" s="171">
        <f>SETUP!$C$23</f>
        <v>50</v>
      </c>
      <c r="D140" s="165">
        <f t="shared" si="33"/>
        <v>600</v>
      </c>
      <c r="E140" s="129">
        <f t="shared" si="34"/>
        <v>0</v>
      </c>
      <c r="F140" s="128">
        <f t="shared" si="35"/>
        <v>0</v>
      </c>
      <c r="G140" s="172">
        <f t="shared" si="36"/>
        <v>50</v>
      </c>
      <c r="H140" s="173">
        <f t="shared" si="37"/>
        <v>0</v>
      </c>
      <c r="I140" s="167" t="str">
        <f t="shared" si="38"/>
        <v>🟢 OK</v>
      </c>
      <c r="J140" s="146"/>
      <c r="K140" s="146"/>
      <c r="L140" s="146"/>
      <c r="M140" s="146"/>
      <c r="N140" s="146"/>
      <c r="O140" s="146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75" customHeight="1">
      <c r="A141" s="1"/>
      <c r="B141" s="62" t="str">
        <f>SETUP!$B$24</f>
        <v>SALUTE</v>
      </c>
      <c r="C141" s="171">
        <f>SETUP!$C$24</f>
        <v>20</v>
      </c>
      <c r="D141" s="165">
        <f t="shared" si="33"/>
        <v>240</v>
      </c>
      <c r="E141" s="129">
        <f t="shared" si="34"/>
        <v>10.4</v>
      </c>
      <c r="F141" s="128">
        <f t="shared" si="35"/>
        <v>2.08</v>
      </c>
      <c r="G141" s="172">
        <f t="shared" si="36"/>
        <v>17.92</v>
      </c>
      <c r="H141" s="173">
        <f t="shared" si="37"/>
        <v>0.104</v>
      </c>
      <c r="I141" s="167" t="str">
        <f t="shared" si="38"/>
        <v>🟢 OK</v>
      </c>
      <c r="J141" s="146"/>
      <c r="K141" s="146"/>
      <c r="L141" s="146"/>
      <c r="M141" s="146"/>
      <c r="N141" s="146"/>
      <c r="O141" s="146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75" customHeight="1">
      <c r="A142" s="1"/>
      <c r="B142" s="62" t="str">
        <f>SETUP!$B$25</f>
        <v>FORMAZIONE</v>
      </c>
      <c r="C142" s="171">
        <f>SETUP!$C$25</f>
        <v>30</v>
      </c>
      <c r="D142" s="165">
        <f t="shared" si="33"/>
        <v>360</v>
      </c>
      <c r="E142" s="129">
        <f t="shared" si="34"/>
        <v>0</v>
      </c>
      <c r="F142" s="128">
        <f t="shared" si="35"/>
        <v>0</v>
      </c>
      <c r="G142" s="172">
        <f t="shared" si="36"/>
        <v>30</v>
      </c>
      <c r="H142" s="173">
        <f t="shared" si="37"/>
        <v>0</v>
      </c>
      <c r="I142" s="167" t="str">
        <f t="shared" si="38"/>
        <v>🟢 OK</v>
      </c>
      <c r="J142" s="146"/>
      <c r="K142" s="146"/>
      <c r="L142" s="146"/>
      <c r="M142" s="146"/>
      <c r="N142" s="146"/>
      <c r="O142" s="146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75" customHeight="1">
      <c r="A143" s="1"/>
      <c r="B143" s="62" t="str">
        <f>SETUP!$B$26</f>
        <v>INVESTIMENTO</v>
      </c>
      <c r="C143" s="171">
        <f>SETUP!$C$26</f>
        <v>0</v>
      </c>
      <c r="D143" s="165">
        <f t="shared" si="33"/>
        <v>0</v>
      </c>
      <c r="E143" s="129">
        <f t="shared" si="34"/>
        <v>0</v>
      </c>
      <c r="F143" s="128">
        <f t="shared" si="35"/>
        <v>0</v>
      </c>
      <c r="G143" s="172">
        <f t="shared" si="36"/>
        <v>0</v>
      </c>
      <c r="H143" s="173">
        <f t="shared" si="37"/>
        <v>0</v>
      </c>
      <c r="I143" s="167" t="str">
        <f t="shared" si="38"/>
        <v>—</v>
      </c>
      <c r="J143" s="146"/>
      <c r="K143" s="146"/>
      <c r="L143" s="146"/>
      <c r="M143" s="146"/>
      <c r="N143" s="146"/>
      <c r="O143" s="146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1"/>
      <c r="B144" s="62" t="str">
        <f>SETUP!$B$27</f>
        <v>ALTRO</v>
      </c>
      <c r="C144" s="171">
        <f>SETUP!$C$27</f>
        <v>50</v>
      </c>
      <c r="D144" s="165">
        <f t="shared" si="33"/>
        <v>600</v>
      </c>
      <c r="E144" s="129">
        <f t="shared" si="34"/>
        <v>85</v>
      </c>
      <c r="F144" s="128">
        <f t="shared" si="35"/>
        <v>17</v>
      </c>
      <c r="G144" s="172">
        <f t="shared" si="36"/>
        <v>33</v>
      </c>
      <c r="H144" s="173">
        <f t="shared" si="37"/>
        <v>0.34</v>
      </c>
      <c r="I144" s="167" t="str">
        <f t="shared" si="38"/>
        <v>🟢 OK</v>
      </c>
      <c r="J144" s="146"/>
      <c r="K144" s="146"/>
      <c r="L144" s="146"/>
      <c r="M144" s="146"/>
      <c r="N144" s="146"/>
      <c r="O144" s="146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75" customHeight="1">
      <c r="A145" s="1"/>
      <c r="B145" s="62" t="str">
        <f>SETUP!$B$28</f>
        <v>(vuoto — aggiungi qui)</v>
      </c>
      <c r="C145" s="171" t="str">
        <f>SETUP!$C$28</f>
        <v/>
      </c>
      <c r="D145" s="165">
        <f t="shared" si="33"/>
        <v>0</v>
      </c>
      <c r="E145" s="129">
        <f t="shared" si="34"/>
        <v>0</v>
      </c>
      <c r="F145" s="128">
        <f t="shared" si="35"/>
        <v>0</v>
      </c>
      <c r="G145" s="172">
        <f t="shared" si="36"/>
        <v>0</v>
      </c>
      <c r="H145" s="173">
        <f t="shared" si="37"/>
        <v>0</v>
      </c>
      <c r="I145" s="167" t="str">
        <f t="shared" si="38"/>
        <v>—</v>
      </c>
      <c r="J145" s="146"/>
      <c r="K145" s="146"/>
      <c r="L145" s="146"/>
      <c r="M145" s="146"/>
      <c r="N145" s="146"/>
      <c r="O145" s="146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1"/>
      <c r="B146" s="62" t="str">
        <f>SETUP!$B$29</f>
        <v>(vuoto — aggiungi qui)</v>
      </c>
      <c r="C146" s="171" t="str">
        <f>SETUP!$C$29</f>
        <v/>
      </c>
      <c r="D146" s="165">
        <f t="shared" si="33"/>
        <v>0</v>
      </c>
      <c r="E146" s="129">
        <f t="shared" si="34"/>
        <v>0</v>
      </c>
      <c r="F146" s="128">
        <f t="shared" si="35"/>
        <v>0</v>
      </c>
      <c r="G146" s="172">
        <f t="shared" si="36"/>
        <v>0</v>
      </c>
      <c r="H146" s="173">
        <f t="shared" si="37"/>
        <v>0</v>
      </c>
      <c r="I146" s="167" t="str">
        <f t="shared" si="38"/>
        <v>—</v>
      </c>
      <c r="J146" s="146"/>
      <c r="K146" s="146"/>
      <c r="L146" s="146"/>
      <c r="M146" s="146"/>
      <c r="N146" s="146"/>
      <c r="O146" s="146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75" customHeight="1">
      <c r="A147" s="1"/>
      <c r="B147" s="62" t="str">
        <f>SETUP!$B$30</f>
        <v>(vuoto — aggiungi qui)</v>
      </c>
      <c r="C147" s="171" t="str">
        <f>SETUP!$C$30</f>
        <v/>
      </c>
      <c r="D147" s="165">
        <f t="shared" si="33"/>
        <v>0</v>
      </c>
      <c r="E147" s="129">
        <f t="shared" si="34"/>
        <v>0</v>
      </c>
      <c r="F147" s="128">
        <f t="shared" si="35"/>
        <v>0</v>
      </c>
      <c r="G147" s="172">
        <f t="shared" si="36"/>
        <v>0</v>
      </c>
      <c r="H147" s="173">
        <f t="shared" si="37"/>
        <v>0</v>
      </c>
      <c r="I147" s="167" t="str">
        <f t="shared" si="38"/>
        <v>—</v>
      </c>
      <c r="J147" s="146"/>
      <c r="K147" s="146"/>
      <c r="L147" s="146"/>
      <c r="M147" s="146"/>
      <c r="N147" s="146"/>
      <c r="O147" s="146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75" customHeight="1">
      <c r="A148" s="1"/>
      <c r="B148" s="62" t="str">
        <f>SETUP!$B$31</f>
        <v>(vuoto — aggiungi qui)</v>
      </c>
      <c r="C148" s="171" t="str">
        <f>SETUP!$C$31</f>
        <v/>
      </c>
      <c r="D148" s="165">
        <f t="shared" si="33"/>
        <v>0</v>
      </c>
      <c r="E148" s="129">
        <f t="shared" si="34"/>
        <v>0</v>
      </c>
      <c r="F148" s="128">
        <f t="shared" si="35"/>
        <v>0</v>
      </c>
      <c r="G148" s="172">
        <f t="shared" si="36"/>
        <v>0</v>
      </c>
      <c r="H148" s="173">
        <f t="shared" si="37"/>
        <v>0</v>
      </c>
      <c r="I148" s="167" t="str">
        <f t="shared" si="38"/>
        <v>—</v>
      </c>
      <c r="J148" s="146"/>
      <c r="K148" s="146"/>
      <c r="L148" s="146"/>
      <c r="M148" s="146"/>
      <c r="N148" s="146"/>
      <c r="O148" s="146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75" customHeight="1">
      <c r="A149" s="1"/>
      <c r="B149" s="62" t="str">
        <f>SETUP!$B$32</f>
        <v>(vuoto — aggiungi qui)</v>
      </c>
      <c r="C149" s="171" t="str">
        <f>SETUP!$C$32</f>
        <v/>
      </c>
      <c r="D149" s="165">
        <f t="shared" si="33"/>
        <v>0</v>
      </c>
      <c r="E149" s="129">
        <f t="shared" si="34"/>
        <v>0</v>
      </c>
      <c r="F149" s="128">
        <f t="shared" si="35"/>
        <v>0</v>
      </c>
      <c r="G149" s="172">
        <f t="shared" si="36"/>
        <v>0</v>
      </c>
      <c r="H149" s="173">
        <f t="shared" si="37"/>
        <v>0</v>
      </c>
      <c r="I149" s="167" t="str">
        <f t="shared" si="38"/>
        <v>—</v>
      </c>
      <c r="J149" s="146"/>
      <c r="K149" s="146"/>
      <c r="L149" s="146"/>
      <c r="M149" s="146"/>
      <c r="N149" s="146"/>
      <c r="O149" s="146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75" customHeight="1">
      <c r="A150" s="1"/>
      <c r="B150" s="48" t="s">
        <v>213</v>
      </c>
      <c r="C150" s="174">
        <f t="shared" ref="C150:G150" si="39">SUM(C135:C149)</f>
        <v>860</v>
      </c>
      <c r="D150" s="174">
        <f t="shared" si="39"/>
        <v>10320</v>
      </c>
      <c r="E150" s="130">
        <f t="shared" si="39"/>
        <v>5734.02</v>
      </c>
      <c r="F150" s="174">
        <f t="shared" si="39"/>
        <v>1146.804</v>
      </c>
      <c r="G150" s="174">
        <f t="shared" si="39"/>
        <v>-286.804</v>
      </c>
      <c r="H150" s="175">
        <f t="shared" si="37"/>
        <v>1.333493023</v>
      </c>
      <c r="I150" s="50"/>
      <c r="J150" s="50"/>
      <c r="K150" s="50"/>
      <c r="L150" s="50"/>
      <c r="M150" s="50"/>
      <c r="N150" s="50"/>
      <c r="O150" s="50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75" customHeight="1">
      <c r="A153" s="1"/>
      <c r="B153" s="73" t="s">
        <v>264</v>
      </c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75" customHeight="1">
      <c r="A155" s="1"/>
      <c r="B155" s="176" t="s">
        <v>265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75" customHeight="1">
      <c r="A156" s="1"/>
      <c r="B156" s="177" t="s">
        <v>266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1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75" customHeight="1">
      <c r="A157" s="1"/>
      <c r="B157" s="176" t="s">
        <v>267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1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75" customHeight="1">
      <c r="A158" s="1"/>
      <c r="B158" s="177" t="s">
        <v>268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1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75" customHeight="1">
      <c r="A159" s="1"/>
      <c r="B159" s="176" t="s">
        <v>269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1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75" customHeight="1">
      <c r="A160" s="1"/>
      <c r="B160" s="177" t="s">
        <v>270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1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75" customHeight="1">
      <c r="A161" s="1"/>
      <c r="B161" s="176" t="s">
        <v>271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1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1"/>
      <c r="B162" s="177" t="s">
        <v>272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1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76" t="s">
        <v>273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1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1"/>
      <c r="B164" s="177" t="s">
        <v>274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1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78" t="s">
        <v>275</v>
      </c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80"/>
      <c r="P166" s="1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75" customHeight="1">
      <c r="A167" s="1"/>
      <c r="B167" s="176" t="s">
        <v>276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1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1"/>
      <c r="B168" s="177" t="s">
        <v>277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1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75" customHeight="1">
      <c r="A169" s="1"/>
      <c r="B169" s="176" t="s">
        <v>278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1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1"/>
      <c r="B170" s="177" t="s">
        <v>279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1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1"/>
      <c r="B171" s="176" t="s">
        <v>280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1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1"/>
      <c r="B172" s="177" t="s">
        <v>281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1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75" customHeight="1">
      <c r="A173" s="1"/>
      <c r="B173" s="176" t="s">
        <v>282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1"/>
      <c r="B174" s="177" t="s">
        <v>283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75" customHeight="1">
      <c r="A175" s="1"/>
      <c r="B175" s="176" t="s">
        <v>284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1"/>
      <c r="B176" s="177" t="s">
        <v>285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75" customHeight="1">
      <c r="A179" s="1"/>
      <c r="B179" s="181" t="s">
        <v>286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1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75" customHeight="1">
      <c r="A181" s="1"/>
      <c r="B181" s="36" t="s">
        <v>200</v>
      </c>
      <c r="C181" s="182" t="s">
        <v>45</v>
      </c>
      <c r="D181" s="5"/>
      <c r="E181" s="182" t="s">
        <v>287</v>
      </c>
      <c r="F181" s="5"/>
      <c r="G181" s="182" t="s">
        <v>49</v>
      </c>
      <c r="H181" s="4"/>
      <c r="I181" s="4"/>
      <c r="J181" s="4"/>
      <c r="K181" s="4"/>
      <c r="L181" s="4"/>
      <c r="M181" s="4"/>
      <c r="N181" s="4"/>
      <c r="O181" s="5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1.5" customHeight="1">
      <c r="A182" s="1"/>
      <c r="B182" s="183" t="s">
        <v>288</v>
      </c>
      <c r="C182" s="184" t="s">
        <v>289</v>
      </c>
      <c r="D182" s="5"/>
      <c r="E182" s="185">
        <f>IFERROR(GENNAIO!G29,0)+IFERROR(FEBBRAIO!G29,0)+IFERROR(MARZO!G29,0)+IFERROR(APRILE!G29,0)+IFERROR(MAGGIO!G29,0)+IFERROR(GIUGNO!G29,0)+IFERROR(LUGLIO!G29,0)+IFERROR(AGOSTO!G29,0)+IFERROR(SETTEMBRE!G29,0)+IFERROR(OTTOBRE!G29,0)+IFERROR(NOVEMBRE!G29,0)+IFERROR(DICEMBRE!G29,0)</f>
        <v>793.0494</v>
      </c>
      <c r="F182" s="5"/>
      <c r="G182" s="186" t="s">
        <v>290</v>
      </c>
      <c r="H182" s="4"/>
      <c r="I182" s="4"/>
      <c r="J182" s="4"/>
      <c r="K182" s="4"/>
      <c r="L182" s="4"/>
      <c r="M182" s="4"/>
      <c r="N182" s="4"/>
      <c r="O182" s="5"/>
      <c r="P182" s="1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75" customHeight="1">
      <c r="A183" s="1"/>
      <c r="B183" s="183" t="s">
        <v>291</v>
      </c>
      <c r="C183" s="184" t="s">
        <v>292</v>
      </c>
      <c r="D183" s="5"/>
      <c r="E183" s="187">
        <f>IFERROR(GENNAIO!F29,0)+IFERROR(FEBBRAIO!F29,0)+IFERROR(MARZO!F29,0)+IFERROR(APRILE!F29,0)+IFERROR(MAGGIO!F29,0)+IFERROR(GIUGNO!F29,0)+IFERROR(LUGLIO!F29,0)+IFERROR(AGOSTO!F29,0)+IFERROR(SETTEMBRE!F29,0)+IFERROR(OTTOBRE!F29,0)+IFERROR(NOVEMBRE!F29,0)+IFERROR(DICEMBRE!F29,0)</f>
        <v>159.9</v>
      </c>
      <c r="F183" s="5"/>
      <c r="G183" s="186" t="s">
        <v>293</v>
      </c>
      <c r="H183" s="4"/>
      <c r="I183" s="4"/>
      <c r="J183" s="4"/>
      <c r="K183" s="4"/>
      <c r="L183" s="4"/>
      <c r="M183" s="4"/>
      <c r="N183" s="4"/>
      <c r="O183" s="5"/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1.5" customHeight="1">
      <c r="A184" s="43"/>
      <c r="B184" s="183" t="s">
        <v>294</v>
      </c>
      <c r="C184" s="184" t="s">
        <v>295</v>
      </c>
      <c r="D184" s="5"/>
      <c r="E184" s="187">
        <f>12*SETUP!$C$6</f>
        <v>4611.72</v>
      </c>
      <c r="F184" s="5"/>
      <c r="G184" s="186" t="s">
        <v>296</v>
      </c>
      <c r="H184" s="4"/>
      <c r="I184" s="4"/>
      <c r="J184" s="4"/>
      <c r="K184" s="4"/>
      <c r="L184" s="4"/>
      <c r="M184" s="4"/>
      <c r="N184" s="4"/>
      <c r="O184" s="5"/>
      <c r="P184" s="43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75" customHeight="1">
      <c r="A185" s="43"/>
      <c r="B185" s="183" t="s">
        <v>297</v>
      </c>
      <c r="C185" s="184" t="s">
        <v>298</v>
      </c>
      <c r="D185" s="5"/>
      <c r="E185" s="187">
        <f>E183+E184</f>
        <v>4771.62</v>
      </c>
      <c r="F185" s="5"/>
      <c r="G185" s="186"/>
      <c r="H185" s="4"/>
      <c r="I185" s="4"/>
      <c r="J185" s="4"/>
      <c r="K185" s="4"/>
      <c r="L185" s="4"/>
      <c r="M185" s="4"/>
      <c r="N185" s="4"/>
      <c r="O185" s="5"/>
      <c r="P185" s="43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1.5" customHeight="1">
      <c r="A186" s="43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43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75" customHeight="1">
      <c r="A187" s="43"/>
      <c r="B187" s="183" t="s">
        <v>299</v>
      </c>
      <c r="C187" s="184" t="s">
        <v>300</v>
      </c>
      <c r="D187" s="5"/>
      <c r="E187" s="189">
        <f>E182-E185</f>
        <v>-3978.5706</v>
      </c>
      <c r="F187" s="5"/>
      <c r="G187" s="190" t="s">
        <v>301</v>
      </c>
      <c r="H187" s="4"/>
      <c r="I187" s="4"/>
      <c r="J187" s="4"/>
      <c r="K187" s="4"/>
      <c r="L187" s="4"/>
      <c r="M187" s="4"/>
      <c r="N187" s="4"/>
      <c r="O187" s="5"/>
      <c r="P187" s="43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1.5" customHeight="1">
      <c r="A188" s="43"/>
      <c r="B188" s="183" t="s">
        <v>302</v>
      </c>
      <c r="C188" s="107" t="str">
        <f>IF(E187&gt;0,CONCATENATE("📤 Devi restituire al socio €",TEXT(E187,"#,##0.00"),"  con bonifico causale: Conguaglio spese fiscali 2026"),IF(E187&lt;0,CONCATENATE("⚠ Hai trattenuto MENO del dovuto: mancano €",TEXT(-E187,"#,##0.00"), " al fondo tasse — paga di tasca tua"),"⚖ Conguaglio in pari — niente da fare"))</f>
        <v>⚠ Hai trattenuto MENO del dovuto: mancano €3.978,57 al fondo tasse — paga di tasca tua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43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B90:D90"/>
    <mergeCell ref="B91:D91"/>
    <mergeCell ref="E91:G91"/>
    <mergeCell ref="H91:J91"/>
    <mergeCell ref="K91:M91"/>
    <mergeCell ref="B92:D92"/>
    <mergeCell ref="E92:G92"/>
    <mergeCell ref="B93:D93"/>
    <mergeCell ref="E93:G93"/>
    <mergeCell ref="H93:J93"/>
    <mergeCell ref="K93:M93"/>
    <mergeCell ref="B96:O96"/>
    <mergeCell ref="B115:O115"/>
    <mergeCell ref="B133:O133"/>
    <mergeCell ref="B161:O161"/>
    <mergeCell ref="B162:O162"/>
    <mergeCell ref="B163:O163"/>
    <mergeCell ref="B164:O164"/>
    <mergeCell ref="B166:O166"/>
    <mergeCell ref="B167:O167"/>
    <mergeCell ref="B168:O168"/>
    <mergeCell ref="B169:O169"/>
    <mergeCell ref="B170:O170"/>
    <mergeCell ref="B171:O171"/>
    <mergeCell ref="B172:O172"/>
    <mergeCell ref="B173:O173"/>
    <mergeCell ref="B174:O174"/>
    <mergeCell ref="B175:O175"/>
    <mergeCell ref="G183:O183"/>
    <mergeCell ref="G184:O184"/>
    <mergeCell ref="G185:O185"/>
    <mergeCell ref="B176:O176"/>
    <mergeCell ref="B179:O179"/>
    <mergeCell ref="C181:D181"/>
    <mergeCell ref="E181:F181"/>
    <mergeCell ref="G181:O181"/>
    <mergeCell ref="E182:F182"/>
    <mergeCell ref="G182:O182"/>
    <mergeCell ref="C187:D187"/>
    <mergeCell ref="E187:F187"/>
    <mergeCell ref="G187:O187"/>
    <mergeCell ref="C188:O188"/>
    <mergeCell ref="C182:D182"/>
    <mergeCell ref="C183:D183"/>
    <mergeCell ref="E183:F183"/>
    <mergeCell ref="C184:D184"/>
    <mergeCell ref="E184:F184"/>
    <mergeCell ref="C185:D185"/>
    <mergeCell ref="E185:F185"/>
    <mergeCell ref="B2:O2"/>
    <mergeCell ref="B3:O3"/>
    <mergeCell ref="B4:O4"/>
    <mergeCell ref="B5:O5"/>
    <mergeCell ref="E7:G7"/>
    <mergeCell ref="H7:J7"/>
    <mergeCell ref="K7:M7"/>
    <mergeCell ref="H9:J9"/>
    <mergeCell ref="K9:M9"/>
    <mergeCell ref="B7:D7"/>
    <mergeCell ref="B8:D8"/>
    <mergeCell ref="E8:G8"/>
    <mergeCell ref="H8:J8"/>
    <mergeCell ref="K8:M8"/>
    <mergeCell ref="B9:D9"/>
    <mergeCell ref="E9:G9"/>
    <mergeCell ref="B11:O11"/>
    <mergeCell ref="B13:O13"/>
    <mergeCell ref="B15:O15"/>
    <mergeCell ref="B18:O18"/>
    <mergeCell ref="B22:O22"/>
    <mergeCell ref="B26:O26"/>
    <mergeCell ref="B31:O31"/>
    <mergeCell ref="B57:O57"/>
    <mergeCell ref="B77:O77"/>
    <mergeCell ref="B78:O78"/>
    <mergeCell ref="B88:O88"/>
    <mergeCell ref="E90:G90"/>
    <mergeCell ref="H90:J90"/>
    <mergeCell ref="K90:M90"/>
    <mergeCell ref="H92:J92"/>
    <mergeCell ref="K92:M92"/>
    <mergeCell ref="B153:O153"/>
    <mergeCell ref="B155:O155"/>
    <mergeCell ref="B156:O156"/>
    <mergeCell ref="B157:O157"/>
    <mergeCell ref="B158:O158"/>
    <mergeCell ref="B159:O159"/>
    <mergeCell ref="B160:O160"/>
  </mergeCells>
  <conditionalFormatting sqref="H69">
    <cfRule type="cellIs" dxfId="5" priority="1" operator="lessThan">
      <formula>0</formula>
    </cfRule>
  </conditionalFormatting>
  <conditionalFormatting sqref="I69">
    <cfRule type="cellIs" dxfId="6" priority="2" operator="lessThan">
      <formula>0</formula>
    </cfRule>
  </conditionalFormatting>
  <conditionalFormatting sqref="K69">
    <cfRule type="cellIs" dxfId="6" priority="3" operator="lessThan">
      <formula>0</formula>
    </cfRule>
  </conditionalFormatting>
  <conditionalFormatting sqref="H70">
    <cfRule type="cellIs" dxfId="5" priority="4" operator="lessThan">
      <formula>0</formula>
    </cfRule>
  </conditionalFormatting>
  <conditionalFormatting sqref="I70">
    <cfRule type="cellIs" dxfId="6" priority="5" operator="lessThan">
      <formula>0</formula>
    </cfRule>
  </conditionalFormatting>
  <conditionalFormatting sqref="K70">
    <cfRule type="cellIs" dxfId="6" priority="6" operator="lessThan">
      <formula>0</formula>
    </cfRule>
  </conditionalFormatting>
  <conditionalFormatting sqref="H74">
    <cfRule type="cellIs" dxfId="7" priority="7" operator="lessThan">
      <formula>0</formula>
    </cfRule>
  </conditionalFormatting>
  <conditionalFormatting sqref="I74">
    <cfRule type="cellIs" dxfId="7" priority="8" operator="lessThan">
      <formula>0</formula>
    </cfRule>
  </conditionalFormatting>
  <conditionalFormatting sqref="I147">
    <cfRule type="expression" dxfId="8" priority="9">
      <formula>LEFT($I$147,1)="🔴"</formula>
    </cfRule>
  </conditionalFormatting>
  <conditionalFormatting sqref="I147">
    <cfRule type="expression" dxfId="9" priority="10">
      <formula>LEFT($I$147,1)="🟡"</formula>
    </cfRule>
  </conditionalFormatting>
  <conditionalFormatting sqref="I147">
    <cfRule type="expression" dxfId="10" priority="11">
      <formula>LEFT($I$147,1)="🟢"</formula>
    </cfRule>
  </conditionalFormatting>
  <conditionalFormatting sqref="G147">
    <cfRule type="cellIs" dxfId="8" priority="12" operator="lessThan">
      <formula>0</formula>
    </cfRule>
  </conditionalFormatting>
  <conditionalFormatting sqref="I148">
    <cfRule type="expression" dxfId="8" priority="13">
      <formula>LEFT($I$148,1)="🔴"</formula>
    </cfRule>
  </conditionalFormatting>
  <conditionalFormatting sqref="I148">
    <cfRule type="expression" dxfId="9" priority="14">
      <formula>LEFT($I$148,1)="🟡"</formula>
    </cfRule>
  </conditionalFormatting>
  <conditionalFormatting sqref="I148">
    <cfRule type="expression" dxfId="10" priority="15">
      <formula>LEFT($I$148,1)="🟢"</formula>
    </cfRule>
  </conditionalFormatting>
  <conditionalFormatting sqref="G148">
    <cfRule type="cellIs" dxfId="8" priority="16" operator="lessThan">
      <formula>0</formula>
    </cfRule>
  </conditionalFormatting>
  <conditionalFormatting sqref="I149">
    <cfRule type="expression" dxfId="8" priority="17">
      <formula>LEFT($I$149,1)="🔴"</formula>
    </cfRule>
  </conditionalFormatting>
  <conditionalFormatting sqref="I149">
    <cfRule type="expression" dxfId="9" priority="18">
      <formula>LEFT($I$149,1)="🟡"</formula>
    </cfRule>
  </conditionalFormatting>
  <conditionalFormatting sqref="I149">
    <cfRule type="expression" dxfId="10" priority="19">
      <formula>LEFT($I$149,1)="🟢"</formula>
    </cfRule>
  </conditionalFormatting>
  <conditionalFormatting sqref="G149">
    <cfRule type="cellIs" dxfId="8" priority="20" operator="lessThan">
      <formula>0</formula>
    </cfRule>
  </conditionalFormatting>
  <conditionalFormatting sqref="I150">
    <cfRule type="expression" dxfId="8" priority="21">
      <formula>LEFT($I$150,1)="🔴"</formula>
    </cfRule>
  </conditionalFormatting>
  <conditionalFormatting sqref="I150">
    <cfRule type="expression" dxfId="9" priority="22">
      <formula>LEFT($I$150,1)="🟡"</formula>
    </cfRule>
  </conditionalFormatting>
  <conditionalFormatting sqref="I150">
    <cfRule type="expression" dxfId="10" priority="23">
      <formula>LEFT($I$150,1)="🟢"</formula>
    </cfRule>
  </conditionalFormatting>
  <conditionalFormatting sqref="G150">
    <cfRule type="cellIs" dxfId="8" priority="24" operator="lessThan">
      <formula>0</formula>
    </cfRule>
  </conditionalFormatting>
  <conditionalFormatting sqref="I151">
    <cfRule type="expression" dxfId="8" priority="25">
      <formula>LEFT($I$151,1)="🔴"</formula>
    </cfRule>
  </conditionalFormatting>
  <conditionalFormatting sqref="I151">
    <cfRule type="expression" dxfId="9" priority="26">
      <formula>LEFT($I$151,1)="🟡"</formula>
    </cfRule>
  </conditionalFormatting>
  <conditionalFormatting sqref="I151">
    <cfRule type="expression" dxfId="10" priority="27">
      <formula>LEFT($I$151,1)="🟢"</formula>
    </cfRule>
  </conditionalFormatting>
  <conditionalFormatting sqref="G151">
    <cfRule type="cellIs" dxfId="8" priority="28" operator="lessThan">
      <formula>0</formula>
    </cfRule>
  </conditionalFormatting>
  <conditionalFormatting sqref="I152">
    <cfRule type="expression" dxfId="8" priority="29">
      <formula>LEFT($I$152,1)="🔴"</formula>
    </cfRule>
  </conditionalFormatting>
  <conditionalFormatting sqref="I152">
    <cfRule type="expression" dxfId="9" priority="30">
      <formula>LEFT($I$152,1)="🟡"</formula>
    </cfRule>
  </conditionalFormatting>
  <conditionalFormatting sqref="I152">
    <cfRule type="expression" dxfId="10" priority="31">
      <formula>LEFT($I$152,1)="🟢"</formula>
    </cfRule>
  </conditionalFormatting>
  <conditionalFormatting sqref="G152">
    <cfRule type="cellIs" dxfId="8" priority="32" operator="lessThan">
      <formula>0</formula>
    </cfRule>
  </conditionalFormatting>
  <conditionalFormatting sqref="I153">
    <cfRule type="expression" dxfId="8" priority="33">
      <formula>LEFT($I$153,1)="🔴"</formula>
    </cfRule>
  </conditionalFormatting>
  <conditionalFormatting sqref="I153">
    <cfRule type="expression" dxfId="9" priority="34">
      <formula>LEFT($I$153,1)="🟡"</formula>
    </cfRule>
  </conditionalFormatting>
  <conditionalFormatting sqref="I153">
    <cfRule type="expression" dxfId="10" priority="35">
      <formula>LEFT($I$153,1)="🟢"</formula>
    </cfRule>
  </conditionalFormatting>
  <conditionalFormatting sqref="G153">
    <cfRule type="cellIs" dxfId="8" priority="36" operator="lessThan">
      <formula>0</formula>
    </cfRule>
  </conditionalFormatting>
  <conditionalFormatting sqref="I154">
    <cfRule type="expression" dxfId="8" priority="37">
      <formula>LEFT($I$154,1)="🔴"</formula>
    </cfRule>
  </conditionalFormatting>
  <conditionalFormatting sqref="I154">
    <cfRule type="expression" dxfId="9" priority="38">
      <formula>LEFT($I$154,1)="🟡"</formula>
    </cfRule>
  </conditionalFormatting>
  <conditionalFormatting sqref="I154">
    <cfRule type="expression" dxfId="10" priority="39">
      <formula>LEFT($I$154,1)="🟢"</formula>
    </cfRule>
  </conditionalFormatting>
  <conditionalFormatting sqref="G154">
    <cfRule type="cellIs" dxfId="8" priority="40" operator="lessThan">
      <formula>0</formula>
    </cfRule>
  </conditionalFormatting>
  <conditionalFormatting sqref="I155">
    <cfRule type="expression" dxfId="8" priority="41">
      <formula>LEFT($I$155,1)="🔴"</formula>
    </cfRule>
  </conditionalFormatting>
  <conditionalFormatting sqref="I155">
    <cfRule type="expression" dxfId="9" priority="42">
      <formula>LEFT($I$155,1)="🟡"</formula>
    </cfRule>
  </conditionalFormatting>
  <conditionalFormatting sqref="I155">
    <cfRule type="expression" dxfId="10" priority="43">
      <formula>LEFT($I$155,1)="🟢"</formula>
    </cfRule>
  </conditionalFormatting>
  <conditionalFormatting sqref="G155">
    <cfRule type="cellIs" dxfId="8" priority="44" operator="lessThan">
      <formula>0</formula>
    </cfRule>
  </conditionalFormatting>
  <conditionalFormatting sqref="I156">
    <cfRule type="expression" dxfId="8" priority="45">
      <formula>LEFT($I$156,1)="🔴"</formula>
    </cfRule>
  </conditionalFormatting>
  <conditionalFormatting sqref="I156">
    <cfRule type="expression" dxfId="9" priority="46">
      <formula>LEFT($I$156,1)="🟡"</formula>
    </cfRule>
  </conditionalFormatting>
  <conditionalFormatting sqref="I156">
    <cfRule type="expression" dxfId="10" priority="47">
      <formula>LEFT($I$156,1)="🟢"</formula>
    </cfRule>
  </conditionalFormatting>
  <conditionalFormatting sqref="G156">
    <cfRule type="cellIs" dxfId="8" priority="48" operator="lessThan">
      <formula>0</formula>
    </cfRule>
  </conditionalFormatting>
  <conditionalFormatting sqref="I157">
    <cfRule type="expression" dxfId="8" priority="49">
      <formula>LEFT($I$157,1)="🔴"</formula>
    </cfRule>
  </conditionalFormatting>
  <conditionalFormatting sqref="I157">
    <cfRule type="expression" dxfId="9" priority="50">
      <formula>LEFT($I$157,1)="🟡"</formula>
    </cfRule>
  </conditionalFormatting>
  <conditionalFormatting sqref="I157">
    <cfRule type="expression" dxfId="10" priority="51">
      <formula>LEFT($I$157,1)="🟢"</formula>
    </cfRule>
  </conditionalFormatting>
  <conditionalFormatting sqref="G157">
    <cfRule type="cellIs" dxfId="8" priority="52" operator="lessThan">
      <formula>0</formula>
    </cfRule>
  </conditionalFormatting>
  <conditionalFormatting sqref="I158">
    <cfRule type="expression" dxfId="8" priority="53">
      <formula>LEFT($I$158,1)="🔴"</formula>
    </cfRule>
  </conditionalFormatting>
  <conditionalFormatting sqref="I158">
    <cfRule type="expression" dxfId="9" priority="54">
      <formula>LEFT($I$158,1)="🟡"</formula>
    </cfRule>
  </conditionalFormatting>
  <conditionalFormatting sqref="I158">
    <cfRule type="expression" dxfId="10" priority="55">
      <formula>LEFT($I$158,1)="🟢"</formula>
    </cfRule>
  </conditionalFormatting>
  <conditionalFormatting sqref="G158">
    <cfRule type="cellIs" dxfId="8" priority="56" operator="lessThan">
      <formula>0</formula>
    </cfRule>
  </conditionalFormatting>
  <conditionalFormatting sqref="I159">
    <cfRule type="expression" dxfId="8" priority="57">
      <formula>LEFT($I$159,1)="🔴"</formula>
    </cfRule>
  </conditionalFormatting>
  <conditionalFormatting sqref="I159">
    <cfRule type="expression" dxfId="9" priority="58">
      <formula>LEFT($I$159,1)="🟡"</formula>
    </cfRule>
  </conditionalFormatting>
  <conditionalFormatting sqref="I159">
    <cfRule type="expression" dxfId="10" priority="59">
      <formula>LEFT($I$159,1)="🟢"</formula>
    </cfRule>
  </conditionalFormatting>
  <conditionalFormatting sqref="G159">
    <cfRule type="cellIs" dxfId="8" priority="60" operator="lessThan">
      <formula>0</formula>
    </cfRule>
  </conditionalFormatting>
  <conditionalFormatting sqref="I160">
    <cfRule type="expression" dxfId="8" priority="61">
      <formula>LEFT($I$160,1)="🔴"</formula>
    </cfRule>
  </conditionalFormatting>
  <conditionalFormatting sqref="I160">
    <cfRule type="expression" dxfId="9" priority="62">
      <formula>LEFT($I$160,1)="🟡"</formula>
    </cfRule>
  </conditionalFormatting>
  <conditionalFormatting sqref="I160">
    <cfRule type="expression" dxfId="10" priority="63">
      <formula>LEFT($I$160,1)="🟢"</formula>
    </cfRule>
  </conditionalFormatting>
  <conditionalFormatting sqref="G160">
    <cfRule type="cellIs" dxfId="8" priority="64" operator="lessThan">
      <formula>0</formula>
    </cfRule>
  </conditionalFormatting>
  <conditionalFormatting sqref="I161">
    <cfRule type="expression" dxfId="8" priority="65">
      <formula>LEFT($I$161,1)="🔴"</formula>
    </cfRule>
  </conditionalFormatting>
  <conditionalFormatting sqref="I161">
    <cfRule type="expression" dxfId="9" priority="66">
      <formula>LEFT($I$161,1)="🟡"</formula>
    </cfRule>
  </conditionalFormatting>
  <conditionalFormatting sqref="I161">
    <cfRule type="expression" dxfId="10" priority="67">
      <formula>LEFT($I$161,1)="🟢"</formula>
    </cfRule>
  </conditionalFormatting>
  <conditionalFormatting sqref="G161">
    <cfRule type="cellIs" dxfId="8" priority="68" operator="lessThan">
      <formula>0</formula>
    </cfRule>
  </conditionalFormatting>
  <printOptions/>
  <pageMargins bottom="1.0" footer="0.0" header="0.0" left="0.75" right="0.75" top="1.0"/>
  <pageSetup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48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.0"/>
    <col customWidth="1" min="2" max="2" width="34.0"/>
    <col customWidth="1" min="3" max="3" width="18.0"/>
    <col customWidth="1" min="4" max="4" width="16.0"/>
    <col customWidth="1" min="5" max="6" width="12.0"/>
    <col customWidth="1" min="7" max="7" width="14.0"/>
    <col customWidth="1" min="8" max="9" width="12.0"/>
    <col customWidth="1" min="10" max="10" width="14.0"/>
    <col customWidth="1" min="11" max="11" width="45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1"/>
      <c r="B2" s="191" t="s">
        <v>303</v>
      </c>
      <c r="C2" s="4"/>
      <c r="D2" s="4"/>
      <c r="E2" s="4"/>
      <c r="F2" s="4"/>
      <c r="G2" s="4"/>
      <c r="H2" s="4"/>
      <c r="I2" s="4"/>
      <c r="J2" s="5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6" t="s">
        <v>304</v>
      </c>
      <c r="C3" s="4"/>
      <c r="D3" s="4"/>
      <c r="E3" s="4"/>
      <c r="F3" s="4"/>
      <c r="G3" s="4"/>
      <c r="H3" s="4"/>
      <c r="I3" s="4"/>
      <c r="J3" s="5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1"/>
      <c r="B5" s="192" t="s">
        <v>305</v>
      </c>
      <c r="C5" s="193"/>
      <c r="D5" s="193"/>
      <c r="E5" s="193"/>
      <c r="F5" s="193"/>
      <c r="G5" s="193"/>
      <c r="H5" s="193"/>
      <c r="I5" s="193"/>
      <c r="J5" s="194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"/>
      <c r="B6" s="195" t="s">
        <v>306</v>
      </c>
      <c r="C6" s="4"/>
      <c r="D6" s="4"/>
      <c r="E6" s="4"/>
      <c r="F6" s="4"/>
      <c r="G6" s="4"/>
      <c r="H6" s="4"/>
      <c r="I6" s="4"/>
      <c r="J6" s="5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1"/>
      <c r="B7" s="195" t="s">
        <v>307</v>
      </c>
      <c r="C7" s="4"/>
      <c r="D7" s="4"/>
      <c r="E7" s="4"/>
      <c r="F7" s="4"/>
      <c r="G7" s="4"/>
      <c r="H7" s="4"/>
      <c r="I7" s="4"/>
      <c r="J7" s="5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1"/>
      <c r="B8" s="195"/>
      <c r="C8" s="4"/>
      <c r="D8" s="4"/>
      <c r="E8" s="4"/>
      <c r="F8" s="4"/>
      <c r="G8" s="4"/>
      <c r="H8" s="4"/>
      <c r="I8" s="4"/>
      <c r="J8" s="5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1"/>
      <c r="B9" s="176" t="s">
        <v>308</v>
      </c>
      <c r="C9" s="4"/>
      <c r="D9" s="4"/>
      <c r="E9" s="4"/>
      <c r="F9" s="4"/>
      <c r="G9" s="4"/>
      <c r="H9" s="4"/>
      <c r="I9" s="4"/>
      <c r="J9" s="5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1"/>
      <c r="B10" s="6" t="s">
        <v>309</v>
      </c>
      <c r="C10" s="4"/>
      <c r="D10" s="4"/>
      <c r="E10" s="4"/>
      <c r="F10" s="4"/>
      <c r="G10" s="4"/>
      <c r="H10" s="4"/>
      <c r="I10" s="4"/>
      <c r="J10" s="5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1"/>
      <c r="B11" s="6" t="s">
        <v>310</v>
      </c>
      <c r="C11" s="4"/>
      <c r="D11" s="4"/>
      <c r="E11" s="4"/>
      <c r="F11" s="4"/>
      <c r="G11" s="4"/>
      <c r="H11" s="4"/>
      <c r="I11" s="4"/>
      <c r="J11" s="5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"/>
      <c r="B12" s="6" t="s">
        <v>311</v>
      </c>
      <c r="C12" s="4"/>
      <c r="D12" s="4"/>
      <c r="E12" s="4"/>
      <c r="F12" s="4"/>
      <c r="G12" s="4"/>
      <c r="H12" s="4"/>
      <c r="I12" s="4"/>
      <c r="J12" s="5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1"/>
      <c r="B13" s="195"/>
      <c r="C13" s="4"/>
      <c r="D13" s="4"/>
      <c r="E13" s="4"/>
      <c r="F13" s="4"/>
      <c r="G13" s="4"/>
      <c r="H13" s="4"/>
      <c r="I13" s="4"/>
      <c r="J13" s="5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1"/>
      <c r="B14" s="196" t="s">
        <v>312</v>
      </c>
      <c r="C14" s="4"/>
      <c r="D14" s="4"/>
      <c r="E14" s="4"/>
      <c r="F14" s="4"/>
      <c r="G14" s="4"/>
      <c r="H14" s="4"/>
      <c r="I14" s="4"/>
      <c r="J14" s="5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1"/>
      <c r="B15" s="6" t="s">
        <v>313</v>
      </c>
      <c r="C15" s="4"/>
      <c r="D15" s="4"/>
      <c r="E15" s="4"/>
      <c r="F15" s="4"/>
      <c r="G15" s="4"/>
      <c r="H15" s="4"/>
      <c r="I15" s="4"/>
      <c r="J15" s="5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1"/>
      <c r="B18" s="197" t="s">
        <v>314</v>
      </c>
      <c r="C18" s="74"/>
      <c r="D18" s="74"/>
      <c r="E18" s="74"/>
      <c r="F18" s="74"/>
      <c r="G18" s="74"/>
      <c r="H18" s="74"/>
      <c r="I18" s="74"/>
      <c r="J18" s="75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1"/>
      <c r="B19" s="168" t="s">
        <v>315</v>
      </c>
      <c r="C19" s="170" t="s">
        <v>316</v>
      </c>
      <c r="D19" s="168" t="s">
        <v>10</v>
      </c>
      <c r="E19" s="169" t="s">
        <v>317</v>
      </c>
      <c r="F19" s="169" t="s">
        <v>318</v>
      </c>
      <c r="G19" s="169" t="s">
        <v>319</v>
      </c>
      <c r="H19" s="169" t="s">
        <v>320</v>
      </c>
      <c r="I19" s="169" t="s">
        <v>321</v>
      </c>
      <c r="J19" s="168" t="s">
        <v>49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1"/>
      <c r="B23" s="198" t="s">
        <v>78</v>
      </c>
      <c r="C23" s="40" t="s">
        <v>322</v>
      </c>
      <c r="D23" s="77" t="s">
        <v>323</v>
      </c>
      <c r="E23" s="199">
        <v>0.03</v>
      </c>
      <c r="F23" s="199">
        <v>0.0316</v>
      </c>
      <c r="G23" s="200">
        <v>0.0</v>
      </c>
      <c r="H23" s="201">
        <f t="shared" ref="H23:H24" si="1">F23+G23</f>
        <v>0.0316</v>
      </c>
      <c r="I23" s="201">
        <v>0.037</v>
      </c>
      <c r="J23" s="202" t="s">
        <v>324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1"/>
      <c r="B24" s="198" t="s">
        <v>79</v>
      </c>
      <c r="C24" s="40" t="s">
        <v>325</v>
      </c>
      <c r="D24" s="77" t="s">
        <v>326</v>
      </c>
      <c r="E24" s="199">
        <v>0.03</v>
      </c>
      <c r="F24" s="199">
        <v>0.0314</v>
      </c>
      <c r="G24" s="200">
        <v>0.0039</v>
      </c>
      <c r="H24" s="201">
        <f t="shared" si="1"/>
        <v>0.0353</v>
      </c>
      <c r="I24" s="201">
        <v>0.038</v>
      </c>
      <c r="J24" s="202" t="s">
        <v>327</v>
      </c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"/>
      <c r="B25" s="203" t="s">
        <v>328</v>
      </c>
      <c r="C25" s="146"/>
      <c r="D25" s="146"/>
      <c r="E25" s="146"/>
      <c r="F25" s="146"/>
      <c r="G25" s="146"/>
      <c r="H25" s="204">
        <f t="shared" ref="H25:H32" si="2">IFERROR(F25+G25,0)</f>
        <v>0</v>
      </c>
      <c r="I25" s="146"/>
      <c r="J25" s="146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"/>
      <c r="B26" s="203" t="s">
        <v>328</v>
      </c>
      <c r="C26" s="146"/>
      <c r="D26" s="146"/>
      <c r="E26" s="146"/>
      <c r="F26" s="146"/>
      <c r="G26" s="146"/>
      <c r="H26" s="204">
        <f t="shared" si="2"/>
        <v>0</v>
      </c>
      <c r="I26" s="146"/>
      <c r="J26" s="146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"/>
      <c r="B27" s="203" t="s">
        <v>328</v>
      </c>
      <c r="C27" s="146"/>
      <c r="D27" s="146"/>
      <c r="E27" s="146"/>
      <c r="F27" s="146"/>
      <c r="G27" s="146"/>
      <c r="H27" s="204">
        <f t="shared" si="2"/>
        <v>0</v>
      </c>
      <c r="I27" s="146"/>
      <c r="J27" s="146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"/>
      <c r="B28" s="203" t="s">
        <v>328</v>
      </c>
      <c r="C28" s="146"/>
      <c r="D28" s="146"/>
      <c r="E28" s="146"/>
      <c r="F28" s="146"/>
      <c r="G28" s="146"/>
      <c r="H28" s="204">
        <f t="shared" si="2"/>
        <v>0</v>
      </c>
      <c r="I28" s="146"/>
      <c r="J28" s="146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"/>
      <c r="B29" s="203" t="s">
        <v>328</v>
      </c>
      <c r="C29" s="146"/>
      <c r="D29" s="146"/>
      <c r="E29" s="146"/>
      <c r="F29" s="146"/>
      <c r="G29" s="146"/>
      <c r="H29" s="204">
        <f t="shared" si="2"/>
        <v>0</v>
      </c>
      <c r="I29" s="146"/>
      <c r="J29" s="146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1"/>
      <c r="B30" s="203" t="s">
        <v>328</v>
      </c>
      <c r="C30" s="146"/>
      <c r="D30" s="146"/>
      <c r="E30" s="146"/>
      <c r="F30" s="146"/>
      <c r="G30" s="146"/>
      <c r="H30" s="204">
        <f t="shared" si="2"/>
        <v>0</v>
      </c>
      <c r="I30" s="146"/>
      <c r="J30" s="146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1"/>
      <c r="B31" s="203" t="s">
        <v>328</v>
      </c>
      <c r="C31" s="146"/>
      <c r="D31" s="146"/>
      <c r="E31" s="146"/>
      <c r="F31" s="146"/>
      <c r="G31" s="146"/>
      <c r="H31" s="204">
        <f t="shared" si="2"/>
        <v>0</v>
      </c>
      <c r="I31" s="146"/>
      <c r="J31" s="146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1"/>
      <c r="B32" s="203" t="s">
        <v>328</v>
      </c>
      <c r="C32" s="146"/>
      <c r="D32" s="146"/>
      <c r="E32" s="146"/>
      <c r="F32" s="146"/>
      <c r="G32" s="146"/>
      <c r="H32" s="204">
        <f t="shared" si="2"/>
        <v>0</v>
      </c>
      <c r="I32" s="146"/>
      <c r="J32" s="146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"/>
      <c r="B33" s="205" t="s">
        <v>329</v>
      </c>
      <c r="C33" s="206"/>
      <c r="D33" s="206"/>
      <c r="E33" s="206"/>
      <c r="F33" s="206"/>
      <c r="G33" s="206"/>
      <c r="H33" s="206"/>
      <c r="I33" s="206"/>
      <c r="J33" s="207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75" customHeight="1">
      <c r="A35" s="1"/>
      <c r="B35" s="208" t="s">
        <v>330</v>
      </c>
      <c r="C35" s="133"/>
      <c r="D35" s="133"/>
      <c r="E35" s="133"/>
      <c r="F35" s="133"/>
      <c r="G35" s="133"/>
      <c r="H35" s="133"/>
      <c r="I35" s="133"/>
      <c r="J35" s="134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1"/>
      <c r="B36" s="135" t="s">
        <v>331</v>
      </c>
      <c r="C36" s="4"/>
      <c r="D36" s="4"/>
      <c r="E36" s="4"/>
      <c r="F36" s="4"/>
      <c r="G36" s="4"/>
      <c r="H36" s="4"/>
      <c r="I36" s="4"/>
      <c r="J36" s="5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1"/>
      <c r="B37" s="168" t="s">
        <v>332</v>
      </c>
      <c r="C37" s="169" t="s">
        <v>333</v>
      </c>
      <c r="D37" s="169" t="s">
        <v>334</v>
      </c>
      <c r="E37" s="169" t="s">
        <v>335</v>
      </c>
      <c r="F37" s="169" t="s">
        <v>336</v>
      </c>
      <c r="G37" s="169" t="s">
        <v>337</v>
      </c>
      <c r="H37" s="169" t="s">
        <v>338</v>
      </c>
      <c r="I37" s="169" t="s">
        <v>339</v>
      </c>
      <c r="J37" s="169" t="s">
        <v>340</v>
      </c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1"/>
      <c r="B38" s="198" t="str">
        <f>$B$23</f>
        <v>PAC 1 — Mediolanum Cina</v>
      </c>
      <c r="C38" s="209">
        <f t="shared" ref="C38:C47" si="3">IFERROR(SUMIFS(INDIRECT("GENNAIO!C79:C88"),INDIRECT("GENNAIO!B79:B88"),$B38),0)+IFERROR(SUMIFS(INDIRECT("FEBBRAIO!C79:C88"),INDIRECT("FEBBRAIO!B79:B88"),$B38),0)+IFERROR(SUMIFS(INDIRECT("MARZO!C79:C88"),INDIRECT("MARZO!B79:B88"),$B38),0)+IFERROR(SUMIFS(INDIRECT("APRILE!C79:C88"),INDIRECT("APRILE!B79:B88"),$B38),0)+IFERROR(SUMIFS(INDIRECT("MAGGIO!C79:C88"),INDIRECT("MAGGIO!B79:B88"),$B38),0)+IFERROR(SUMIFS(INDIRECT("GIUGNO!C79:C88"),INDIRECT("GIUGNO!B79:B88"),$B38),0)+IFERROR(SUMIFS(INDIRECT("LUGLIO!C79:C88"),INDIRECT("LUGLIO!B79:B88"),$B38),0)+IFERROR(SUMIFS(INDIRECT("AGOSTO!C79:C88"),INDIRECT("AGOSTO!B79:B88"),$B38),0)+IFERROR(SUMIFS(INDIRECT("SETTEMBRE!C79:C88"),INDIRECT("SETTEMBRE!B79:B88"),$B38),0)+IFERROR(SUMIFS(INDIRECT("OTTOBRE!C79:C88"),INDIRECT("OTTOBRE!B79:B88"),$B38),0)+IFERROR(SUMIFS(INDIRECT("NOVEMBRE!C79:C88"),INDIRECT("NOVEMBRE!B79:B88"),$B38),0)+IFERROR(SUMIFS(INDIRECT("DICEMBRE!C79:C88"),INDIRECT("DICEMBRE!B79:B88"),$B38),0)</f>
        <v>900</v>
      </c>
      <c r="D38" s="210">
        <f t="shared" ref="D38:D47" si="4">IFERROR(SUMIFS(INDIRECT("GENNAIO!D79:D88"),INDIRECT("GENNAIO!B79:B88"),$B38),0)+IFERROR(SUMIFS(INDIRECT("FEBBRAIO!D79:D88"),INDIRECT("FEBBRAIO!B79:B88"),$B38),0)+IFERROR(SUMIFS(INDIRECT("MARZO!D79:D88"),INDIRECT("MARZO!B79:B88"),$B38),0)+IFERROR(SUMIFS(INDIRECT("APRILE!D79:D88"),INDIRECT("APRILE!B79:B88"),$B38),0)+IFERROR(SUMIFS(INDIRECT("MAGGIO!D79:D88"),INDIRECT("MAGGIO!B79:B88"),$B38),0)+IFERROR(SUMIFS(INDIRECT("GIUGNO!D79:D88"),INDIRECT("GIUGNO!B79:B88"),$B38),0)+IFERROR(SUMIFS(INDIRECT("LUGLIO!D79:D88"),INDIRECT("LUGLIO!B79:B88"),$B38),0)+IFERROR(SUMIFS(INDIRECT("AGOSTO!D79:D88"),INDIRECT("AGOSTO!B79:B88"),$B38),0)+IFERROR(SUMIFS(INDIRECT("SETTEMBRE!D79:D88"),INDIRECT("SETTEMBRE!B79:B88"),$B38),0)+IFERROR(SUMIFS(INDIRECT("OTTOBRE!D79:D88"),INDIRECT("OTTOBRE!B79:B88"),$B38),0)+IFERROR(SUMIFS(INDIRECT("NOVEMBRE!D79:D88"),INDIRECT("NOVEMBRE!B79:B88"),$B38),0)+IFERROR(SUMIFS(INDIRECT("DICEMBRE!D79:D88"),INDIRECT("DICEMBRE!B79:B88"),$B38),0)</f>
        <v>27</v>
      </c>
      <c r="E38" s="211">
        <f>IFERROR(C38*$F$23/2,0)</f>
        <v>14.22</v>
      </c>
      <c r="F38" s="212">
        <f t="shared" ref="F38:F47" si="5">D38+E38</f>
        <v>41.22</v>
      </c>
      <c r="G38" s="213">
        <f t="shared" ref="G38:G48" si="6">IFERROR(F38/C38,0)</f>
        <v>0.0458</v>
      </c>
      <c r="H38" s="214">
        <f t="shared" ref="H38:H47" si="7">C38*0.005/2</f>
        <v>2.25</v>
      </c>
      <c r="I38" s="212">
        <f t="shared" ref="I38:I47" si="8">F38-H38</f>
        <v>38.97</v>
      </c>
      <c r="J38" s="215">
        <f t="shared" ref="J38:J48" si="9">IFERROR(I38/H38,0)</f>
        <v>17.32</v>
      </c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"/>
      <c r="B39" s="198" t="str">
        <f>$B$24</f>
        <v>PAC 2 — Mediolanum India</v>
      </c>
      <c r="C39" s="209">
        <f t="shared" si="3"/>
        <v>900</v>
      </c>
      <c r="D39" s="210">
        <f t="shared" si="4"/>
        <v>27</v>
      </c>
      <c r="E39" s="211">
        <f>IFERROR(C39*$F$24/2,0)</f>
        <v>14.13</v>
      </c>
      <c r="F39" s="212">
        <f t="shared" si="5"/>
        <v>41.13</v>
      </c>
      <c r="G39" s="213">
        <f t="shared" si="6"/>
        <v>0.0457</v>
      </c>
      <c r="H39" s="214">
        <f t="shared" si="7"/>
        <v>2.25</v>
      </c>
      <c r="I39" s="212">
        <f t="shared" si="8"/>
        <v>38.88</v>
      </c>
      <c r="J39" s="215">
        <f t="shared" si="9"/>
        <v>17.28</v>
      </c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1"/>
      <c r="B40" s="198" t="str">
        <f>$B$25</f>
        <v>(aggiungi PAC qui — copia esattamente il nome del secchiello)</v>
      </c>
      <c r="C40" s="209">
        <f t="shared" si="3"/>
        <v>0</v>
      </c>
      <c r="D40" s="210">
        <f t="shared" si="4"/>
        <v>0</v>
      </c>
      <c r="E40" s="211">
        <f>IFERROR(C40*$F$25/2,0)</f>
        <v>0</v>
      </c>
      <c r="F40" s="212">
        <f t="shared" si="5"/>
        <v>0</v>
      </c>
      <c r="G40" s="213">
        <f t="shared" si="6"/>
        <v>0</v>
      </c>
      <c r="H40" s="214">
        <f t="shared" si="7"/>
        <v>0</v>
      </c>
      <c r="I40" s="212">
        <f t="shared" si="8"/>
        <v>0</v>
      </c>
      <c r="J40" s="215">
        <f t="shared" si="9"/>
        <v>0</v>
      </c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1"/>
      <c r="B41" s="198" t="str">
        <f>$B$26</f>
        <v>(aggiungi PAC qui — copia esattamente il nome del secchiello)</v>
      </c>
      <c r="C41" s="209">
        <f t="shared" si="3"/>
        <v>0</v>
      </c>
      <c r="D41" s="210">
        <f t="shared" si="4"/>
        <v>0</v>
      </c>
      <c r="E41" s="211">
        <f>IFERROR(C41*$F$26/2,0)</f>
        <v>0</v>
      </c>
      <c r="F41" s="212">
        <f t="shared" si="5"/>
        <v>0</v>
      </c>
      <c r="G41" s="213">
        <f t="shared" si="6"/>
        <v>0</v>
      </c>
      <c r="H41" s="214">
        <f t="shared" si="7"/>
        <v>0</v>
      </c>
      <c r="I41" s="212">
        <f t="shared" si="8"/>
        <v>0</v>
      </c>
      <c r="J41" s="215">
        <f t="shared" si="9"/>
        <v>0</v>
      </c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1"/>
      <c r="B42" s="198" t="str">
        <f>$B$27</f>
        <v>(aggiungi PAC qui — copia esattamente il nome del secchiello)</v>
      </c>
      <c r="C42" s="209">
        <f t="shared" si="3"/>
        <v>0</v>
      </c>
      <c r="D42" s="210">
        <f t="shared" si="4"/>
        <v>0</v>
      </c>
      <c r="E42" s="211">
        <f>IFERROR(C42*$F$27/2,0)</f>
        <v>0</v>
      </c>
      <c r="F42" s="212">
        <f t="shared" si="5"/>
        <v>0</v>
      </c>
      <c r="G42" s="213">
        <f t="shared" si="6"/>
        <v>0</v>
      </c>
      <c r="H42" s="214">
        <f t="shared" si="7"/>
        <v>0</v>
      </c>
      <c r="I42" s="212">
        <f t="shared" si="8"/>
        <v>0</v>
      </c>
      <c r="J42" s="215">
        <f t="shared" si="9"/>
        <v>0</v>
      </c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1"/>
      <c r="B43" s="198" t="str">
        <f>$B$28</f>
        <v>(aggiungi PAC qui — copia esattamente il nome del secchiello)</v>
      </c>
      <c r="C43" s="209">
        <f t="shared" si="3"/>
        <v>0</v>
      </c>
      <c r="D43" s="210">
        <f t="shared" si="4"/>
        <v>0</v>
      </c>
      <c r="E43" s="211">
        <f>IFERROR(C43*$F$28/2,0)</f>
        <v>0</v>
      </c>
      <c r="F43" s="212">
        <f t="shared" si="5"/>
        <v>0</v>
      </c>
      <c r="G43" s="213">
        <f t="shared" si="6"/>
        <v>0</v>
      </c>
      <c r="H43" s="214">
        <f t="shared" si="7"/>
        <v>0</v>
      </c>
      <c r="I43" s="212">
        <f t="shared" si="8"/>
        <v>0</v>
      </c>
      <c r="J43" s="215">
        <f t="shared" si="9"/>
        <v>0</v>
      </c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1"/>
      <c r="B44" s="198" t="str">
        <f>$B$29</f>
        <v>(aggiungi PAC qui — copia esattamente il nome del secchiello)</v>
      </c>
      <c r="C44" s="209">
        <f t="shared" si="3"/>
        <v>0</v>
      </c>
      <c r="D44" s="210">
        <f t="shared" si="4"/>
        <v>0</v>
      </c>
      <c r="E44" s="211">
        <f>IFERROR(C44*$F$29/2,0)</f>
        <v>0</v>
      </c>
      <c r="F44" s="212">
        <f t="shared" si="5"/>
        <v>0</v>
      </c>
      <c r="G44" s="213">
        <f t="shared" si="6"/>
        <v>0</v>
      </c>
      <c r="H44" s="214">
        <f t="shared" si="7"/>
        <v>0</v>
      </c>
      <c r="I44" s="212">
        <f t="shared" si="8"/>
        <v>0</v>
      </c>
      <c r="J44" s="215">
        <f t="shared" si="9"/>
        <v>0</v>
      </c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1"/>
      <c r="B45" s="198" t="str">
        <f>$B$30</f>
        <v>(aggiungi PAC qui — copia esattamente il nome del secchiello)</v>
      </c>
      <c r="C45" s="209">
        <f t="shared" si="3"/>
        <v>0</v>
      </c>
      <c r="D45" s="210">
        <f t="shared" si="4"/>
        <v>0</v>
      </c>
      <c r="E45" s="211">
        <f>IFERROR(C45*$F$30/2,0)</f>
        <v>0</v>
      </c>
      <c r="F45" s="212">
        <f t="shared" si="5"/>
        <v>0</v>
      </c>
      <c r="G45" s="213">
        <f t="shared" si="6"/>
        <v>0</v>
      </c>
      <c r="H45" s="214">
        <f t="shared" si="7"/>
        <v>0</v>
      </c>
      <c r="I45" s="212">
        <f t="shared" si="8"/>
        <v>0</v>
      </c>
      <c r="J45" s="215">
        <f t="shared" si="9"/>
        <v>0</v>
      </c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1"/>
      <c r="B46" s="198" t="str">
        <f>$B$31</f>
        <v>(aggiungi PAC qui — copia esattamente il nome del secchiello)</v>
      </c>
      <c r="C46" s="209">
        <f t="shared" si="3"/>
        <v>0</v>
      </c>
      <c r="D46" s="210">
        <f t="shared" si="4"/>
        <v>0</v>
      </c>
      <c r="E46" s="211">
        <f>IFERROR(C46*$F$31/2,0)</f>
        <v>0</v>
      </c>
      <c r="F46" s="212">
        <f t="shared" si="5"/>
        <v>0</v>
      </c>
      <c r="G46" s="213">
        <f t="shared" si="6"/>
        <v>0</v>
      </c>
      <c r="H46" s="214">
        <f t="shared" si="7"/>
        <v>0</v>
      </c>
      <c r="I46" s="212">
        <f t="shared" si="8"/>
        <v>0</v>
      </c>
      <c r="J46" s="215">
        <f t="shared" si="9"/>
        <v>0</v>
      </c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1"/>
      <c r="B47" s="198" t="str">
        <f>$B$32</f>
        <v>(aggiungi PAC qui — copia esattamente il nome del secchiello)</v>
      </c>
      <c r="C47" s="209">
        <f t="shared" si="3"/>
        <v>0</v>
      </c>
      <c r="D47" s="210">
        <f t="shared" si="4"/>
        <v>0</v>
      </c>
      <c r="E47" s="211">
        <f>IFERROR(C47*$F$32/2,0)</f>
        <v>0</v>
      </c>
      <c r="F47" s="212">
        <f t="shared" si="5"/>
        <v>0</v>
      </c>
      <c r="G47" s="213">
        <f t="shared" si="6"/>
        <v>0</v>
      </c>
      <c r="H47" s="214">
        <f t="shared" si="7"/>
        <v>0</v>
      </c>
      <c r="I47" s="212">
        <f t="shared" si="8"/>
        <v>0</v>
      </c>
      <c r="J47" s="215">
        <f t="shared" si="9"/>
        <v>0</v>
      </c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1"/>
      <c r="B48" s="147" t="s">
        <v>341</v>
      </c>
      <c r="C48" s="216">
        <f t="shared" ref="C48:F48" si="10">SUM(C38:C47)</f>
        <v>1800</v>
      </c>
      <c r="D48" s="217">
        <f t="shared" si="10"/>
        <v>54</v>
      </c>
      <c r="E48" s="217">
        <f t="shared" si="10"/>
        <v>28.35</v>
      </c>
      <c r="F48" s="218">
        <f t="shared" si="10"/>
        <v>82.35</v>
      </c>
      <c r="G48" s="219">
        <f t="shared" si="6"/>
        <v>0.04575</v>
      </c>
      <c r="H48" s="220">
        <f t="shared" ref="H48:I48" si="11">SUM(H38:H47)</f>
        <v>4.5</v>
      </c>
      <c r="I48" s="218">
        <f t="shared" si="11"/>
        <v>77.85</v>
      </c>
      <c r="J48" s="221">
        <f t="shared" si="9"/>
        <v>17.3</v>
      </c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75" customHeight="1">
      <c r="A51" s="1"/>
      <c r="B51" s="197" t="s">
        <v>342</v>
      </c>
      <c r="C51" s="74"/>
      <c r="D51" s="74"/>
      <c r="E51" s="74"/>
      <c r="F51" s="74"/>
      <c r="G51" s="74"/>
      <c r="H51" s="74"/>
      <c r="I51" s="74"/>
      <c r="J51" s="75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1"/>
      <c r="B52" s="135" t="str">
        <f>CONCATENATE("Stima ritmo mensile = Versato YTD / mesi trascorsi (",MONTH(TODAY()),"). Costi calcolati con RIY 10y dal KID.")</f>
        <v>Stima ritmo mensile = Versato YTD / mesi trascorsi (5). Costi calcolati con RIY 10y dal KID.</v>
      </c>
      <c r="C52" s="4"/>
      <c r="D52" s="4"/>
      <c r="E52" s="4"/>
      <c r="F52" s="4"/>
      <c r="G52" s="4"/>
      <c r="H52" s="4"/>
      <c r="I52" s="4"/>
      <c r="J52" s="5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75" customHeight="1">
      <c r="A54" s="1"/>
      <c r="B54" s="168" t="s">
        <v>332</v>
      </c>
      <c r="C54" s="169" t="s">
        <v>343</v>
      </c>
      <c r="D54" s="169" t="s">
        <v>344</v>
      </c>
      <c r="E54" s="169" t="s">
        <v>345</v>
      </c>
      <c r="F54" s="169" t="s">
        <v>346</v>
      </c>
      <c r="G54" s="169" t="s">
        <v>347</v>
      </c>
      <c r="H54" s="169" t="s">
        <v>348</v>
      </c>
      <c r="I54" s="169" t="s">
        <v>349</v>
      </c>
      <c r="J54" s="169" t="s">
        <v>350</v>
      </c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75" customHeight="1">
      <c r="A55" s="1"/>
      <c r="B55" s="222" t="str">
        <f>$B$23</f>
        <v>PAC 1 — Mediolanum Cina</v>
      </c>
      <c r="C55" s="223">
        <f t="shared" ref="C55:C64" si="12">IFERROR(C38/MONTH(TODAY()),0)</f>
        <v>180</v>
      </c>
      <c r="D55" s="128">
        <f t="shared" ref="D55:D64" si="13">C55*12*5</f>
        <v>10800</v>
      </c>
      <c r="E55" s="224">
        <f>IFERROR(D55*$I$23*5/2,0)</f>
        <v>999</v>
      </c>
      <c r="F55" s="225">
        <f t="shared" ref="F55:F64" si="14">D55*0.005*5/2</f>
        <v>135</v>
      </c>
      <c r="G55" s="226">
        <f t="shared" ref="G55:G64" si="15">E55-F55</f>
        <v>864</v>
      </c>
      <c r="H55" s="128">
        <f t="shared" ref="H55:H64" si="16">C55*12*10</f>
        <v>21600</v>
      </c>
      <c r="I55" s="224">
        <f>IFERROR(H55*$I$23*10/2,0)</f>
        <v>3996</v>
      </c>
      <c r="J55" s="226">
        <f t="shared" ref="J55:J64" si="17">I55-(H55*0.005*10/2)</f>
        <v>3456</v>
      </c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75" customHeight="1">
      <c r="A56" s="1"/>
      <c r="B56" s="222" t="str">
        <f>$B$24</f>
        <v>PAC 2 — Mediolanum India</v>
      </c>
      <c r="C56" s="223">
        <f t="shared" si="12"/>
        <v>180</v>
      </c>
      <c r="D56" s="128">
        <f t="shared" si="13"/>
        <v>10800</v>
      </c>
      <c r="E56" s="224">
        <f>IFERROR(D56*$I$24*5/2,0)</f>
        <v>1026</v>
      </c>
      <c r="F56" s="225">
        <f t="shared" si="14"/>
        <v>135</v>
      </c>
      <c r="G56" s="226">
        <f t="shared" si="15"/>
        <v>891</v>
      </c>
      <c r="H56" s="128">
        <f t="shared" si="16"/>
        <v>21600</v>
      </c>
      <c r="I56" s="224">
        <f>IFERROR(H56*$I$24*10/2,0)</f>
        <v>4104</v>
      </c>
      <c r="J56" s="226">
        <f t="shared" si="17"/>
        <v>3564</v>
      </c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75" customHeight="1">
      <c r="A57" s="1"/>
      <c r="B57" s="222" t="str">
        <f>$B$25</f>
        <v>(aggiungi PAC qui — copia esattamente il nome del secchiello)</v>
      </c>
      <c r="C57" s="223">
        <f t="shared" si="12"/>
        <v>0</v>
      </c>
      <c r="D57" s="128">
        <f t="shared" si="13"/>
        <v>0</v>
      </c>
      <c r="E57" s="224">
        <f>IFERROR(D57*$I$25*5/2,0)</f>
        <v>0</v>
      </c>
      <c r="F57" s="225">
        <f t="shared" si="14"/>
        <v>0</v>
      </c>
      <c r="G57" s="226">
        <f t="shared" si="15"/>
        <v>0</v>
      </c>
      <c r="H57" s="128">
        <f t="shared" si="16"/>
        <v>0</v>
      </c>
      <c r="I57" s="224">
        <f>IFERROR(H57*$I$25*10/2,0)</f>
        <v>0</v>
      </c>
      <c r="J57" s="226">
        <f t="shared" si="17"/>
        <v>0</v>
      </c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75" customHeight="1">
      <c r="A58" s="1"/>
      <c r="B58" s="222" t="str">
        <f>$B$26</f>
        <v>(aggiungi PAC qui — copia esattamente il nome del secchiello)</v>
      </c>
      <c r="C58" s="223">
        <f t="shared" si="12"/>
        <v>0</v>
      </c>
      <c r="D58" s="128">
        <f t="shared" si="13"/>
        <v>0</v>
      </c>
      <c r="E58" s="224">
        <f>IFERROR(D58*$I$26*5/2,0)</f>
        <v>0</v>
      </c>
      <c r="F58" s="225">
        <f t="shared" si="14"/>
        <v>0</v>
      </c>
      <c r="G58" s="226">
        <f t="shared" si="15"/>
        <v>0</v>
      </c>
      <c r="H58" s="128">
        <f t="shared" si="16"/>
        <v>0</v>
      </c>
      <c r="I58" s="224">
        <f>IFERROR(H58*$I$26*10/2,0)</f>
        <v>0</v>
      </c>
      <c r="J58" s="226">
        <f t="shared" si="17"/>
        <v>0</v>
      </c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75" customHeight="1">
      <c r="A59" s="1"/>
      <c r="B59" s="222" t="str">
        <f>$B$27</f>
        <v>(aggiungi PAC qui — copia esattamente il nome del secchiello)</v>
      </c>
      <c r="C59" s="223">
        <f t="shared" si="12"/>
        <v>0</v>
      </c>
      <c r="D59" s="128">
        <f t="shared" si="13"/>
        <v>0</v>
      </c>
      <c r="E59" s="224">
        <f>IFERROR(D59*$I$27*5/2,0)</f>
        <v>0</v>
      </c>
      <c r="F59" s="225">
        <f t="shared" si="14"/>
        <v>0</v>
      </c>
      <c r="G59" s="226">
        <f t="shared" si="15"/>
        <v>0</v>
      </c>
      <c r="H59" s="128">
        <f t="shared" si="16"/>
        <v>0</v>
      </c>
      <c r="I59" s="224">
        <f>IFERROR(H59*$I$27*10/2,0)</f>
        <v>0</v>
      </c>
      <c r="J59" s="226">
        <f t="shared" si="17"/>
        <v>0</v>
      </c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1"/>
      <c r="B60" s="222" t="str">
        <f>$B$28</f>
        <v>(aggiungi PAC qui — copia esattamente il nome del secchiello)</v>
      </c>
      <c r="C60" s="223">
        <f t="shared" si="12"/>
        <v>0</v>
      </c>
      <c r="D60" s="128">
        <f t="shared" si="13"/>
        <v>0</v>
      </c>
      <c r="E60" s="224">
        <f>IFERROR(D60*$I$28*5/2,0)</f>
        <v>0</v>
      </c>
      <c r="F60" s="225">
        <f t="shared" si="14"/>
        <v>0</v>
      </c>
      <c r="G60" s="226">
        <f t="shared" si="15"/>
        <v>0</v>
      </c>
      <c r="H60" s="128">
        <f t="shared" si="16"/>
        <v>0</v>
      </c>
      <c r="I60" s="224">
        <f>IFERROR(H60*$I$28*10/2,0)</f>
        <v>0</v>
      </c>
      <c r="J60" s="226">
        <f t="shared" si="17"/>
        <v>0</v>
      </c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75" customHeight="1">
      <c r="A61" s="1"/>
      <c r="B61" s="222" t="str">
        <f>$B$29</f>
        <v>(aggiungi PAC qui — copia esattamente il nome del secchiello)</v>
      </c>
      <c r="C61" s="223">
        <f t="shared" si="12"/>
        <v>0</v>
      </c>
      <c r="D61" s="128">
        <f t="shared" si="13"/>
        <v>0</v>
      </c>
      <c r="E61" s="224">
        <f>IFERROR(D61*$I$29*5/2,0)</f>
        <v>0</v>
      </c>
      <c r="F61" s="225">
        <f t="shared" si="14"/>
        <v>0</v>
      </c>
      <c r="G61" s="226">
        <f t="shared" si="15"/>
        <v>0</v>
      </c>
      <c r="H61" s="128">
        <f t="shared" si="16"/>
        <v>0</v>
      </c>
      <c r="I61" s="224">
        <f>IFERROR(H61*$I$29*10/2,0)</f>
        <v>0</v>
      </c>
      <c r="J61" s="226">
        <f t="shared" si="17"/>
        <v>0</v>
      </c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75" customHeight="1">
      <c r="A62" s="1"/>
      <c r="B62" s="222" t="str">
        <f>$B$30</f>
        <v>(aggiungi PAC qui — copia esattamente il nome del secchiello)</v>
      </c>
      <c r="C62" s="223">
        <f t="shared" si="12"/>
        <v>0</v>
      </c>
      <c r="D62" s="128">
        <f t="shared" si="13"/>
        <v>0</v>
      </c>
      <c r="E62" s="224">
        <f>IFERROR(D62*$I$30*5/2,0)</f>
        <v>0</v>
      </c>
      <c r="F62" s="225">
        <f t="shared" si="14"/>
        <v>0</v>
      </c>
      <c r="G62" s="226">
        <f t="shared" si="15"/>
        <v>0</v>
      </c>
      <c r="H62" s="128">
        <f t="shared" si="16"/>
        <v>0</v>
      </c>
      <c r="I62" s="224">
        <f>IFERROR(H62*$I$30*10/2,0)</f>
        <v>0</v>
      </c>
      <c r="J62" s="226">
        <f t="shared" si="17"/>
        <v>0</v>
      </c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75" customHeight="1">
      <c r="A63" s="1"/>
      <c r="B63" s="222" t="str">
        <f>$B$31</f>
        <v>(aggiungi PAC qui — copia esattamente il nome del secchiello)</v>
      </c>
      <c r="C63" s="223">
        <f t="shared" si="12"/>
        <v>0</v>
      </c>
      <c r="D63" s="128">
        <f t="shared" si="13"/>
        <v>0</v>
      </c>
      <c r="E63" s="224">
        <f>IFERROR(D63*$I$31*5/2,0)</f>
        <v>0</v>
      </c>
      <c r="F63" s="225">
        <f t="shared" si="14"/>
        <v>0</v>
      </c>
      <c r="G63" s="226">
        <f t="shared" si="15"/>
        <v>0</v>
      </c>
      <c r="H63" s="128">
        <f t="shared" si="16"/>
        <v>0</v>
      </c>
      <c r="I63" s="224">
        <f>IFERROR(H63*$I$31*10/2,0)</f>
        <v>0</v>
      </c>
      <c r="J63" s="226">
        <f t="shared" si="17"/>
        <v>0</v>
      </c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75" customHeight="1">
      <c r="A64" s="1"/>
      <c r="B64" s="222" t="str">
        <f>$B$32</f>
        <v>(aggiungi PAC qui — copia esattamente il nome del secchiello)</v>
      </c>
      <c r="C64" s="223">
        <f t="shared" si="12"/>
        <v>0</v>
      </c>
      <c r="D64" s="128">
        <f t="shared" si="13"/>
        <v>0</v>
      </c>
      <c r="E64" s="224">
        <f>IFERROR(D64*$I$32*5/2,0)</f>
        <v>0</v>
      </c>
      <c r="F64" s="225">
        <f t="shared" si="14"/>
        <v>0</v>
      </c>
      <c r="G64" s="226">
        <f t="shared" si="15"/>
        <v>0</v>
      </c>
      <c r="H64" s="128">
        <f t="shared" si="16"/>
        <v>0</v>
      </c>
      <c r="I64" s="224">
        <f>IFERROR(H64*$I$32*10/2,0)</f>
        <v>0</v>
      </c>
      <c r="J64" s="226">
        <f t="shared" si="17"/>
        <v>0</v>
      </c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1"/>
      <c r="B65" s="147" t="s">
        <v>351</v>
      </c>
      <c r="C65" s="227">
        <f t="shared" ref="C65:J65" si="18">SUM(C55:C64)</f>
        <v>360</v>
      </c>
      <c r="D65" s="227">
        <f t="shared" si="18"/>
        <v>21600</v>
      </c>
      <c r="E65" s="228">
        <f t="shared" si="18"/>
        <v>2025</v>
      </c>
      <c r="F65" s="229">
        <f t="shared" si="18"/>
        <v>270</v>
      </c>
      <c r="G65" s="228">
        <f t="shared" si="18"/>
        <v>1755</v>
      </c>
      <c r="H65" s="227">
        <f t="shared" si="18"/>
        <v>43200</v>
      </c>
      <c r="I65" s="228">
        <f t="shared" si="18"/>
        <v>8100</v>
      </c>
      <c r="J65" s="228">
        <f t="shared" si="18"/>
        <v>7020</v>
      </c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75" customHeight="1">
      <c r="A68" s="1"/>
      <c r="B68" s="230" t="s">
        <v>352</v>
      </c>
      <c r="C68" s="20"/>
      <c r="D68" s="20"/>
      <c r="E68" s="20"/>
      <c r="F68" s="20"/>
      <c r="G68" s="20"/>
      <c r="H68" s="20"/>
      <c r="I68" s="20"/>
      <c r="J68" s="2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1"/>
      <c r="B69" s="6" t="s">
        <v>353</v>
      </c>
      <c r="C69" s="4"/>
      <c r="D69" s="4"/>
      <c r="E69" s="4"/>
      <c r="F69" s="4"/>
      <c r="G69" s="4"/>
      <c r="H69" s="4"/>
      <c r="I69" s="4"/>
      <c r="J69" s="5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9.5" customHeight="1">
      <c r="A70" s="1"/>
      <c r="B70" s="231" t="str">
        <f>CONCATENATE("€",TEXT(J65,"#,##0"),"  →  con un ETF passivo (TER 0.5%) avresti questi soldi in tasca")</f>
        <v>€7.020  →  con un ETF passivo (TER 0.5%) avresti questi soldi in tasca</v>
      </c>
      <c r="C70" s="4"/>
      <c r="D70" s="4"/>
      <c r="E70" s="4"/>
      <c r="F70" s="4"/>
      <c r="G70" s="4"/>
      <c r="H70" s="4"/>
      <c r="I70" s="4"/>
      <c r="J70" s="5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75" customHeight="1">
      <c r="A73" s="1"/>
      <c r="B73" s="232" t="s">
        <v>354</v>
      </c>
      <c r="C73" s="233"/>
      <c r="D73" s="233"/>
      <c r="E73" s="233"/>
      <c r="F73" s="233"/>
      <c r="G73" s="233"/>
      <c r="H73" s="233"/>
      <c r="I73" s="233"/>
      <c r="J73" s="234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"/>
      <c r="B74" s="195" t="s">
        <v>355</v>
      </c>
      <c r="C74" s="4"/>
      <c r="D74" s="4"/>
      <c r="E74" s="4"/>
      <c r="F74" s="4"/>
      <c r="G74" s="4"/>
      <c r="H74" s="4"/>
      <c r="I74" s="4"/>
      <c r="J74" s="5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"/>
      <c r="B75" s="195" t="s">
        <v>356</v>
      </c>
      <c r="C75" s="4"/>
      <c r="D75" s="4"/>
      <c r="E75" s="4"/>
      <c r="F75" s="4"/>
      <c r="G75" s="4"/>
      <c r="H75" s="4"/>
      <c r="I75" s="4"/>
      <c r="J75" s="5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"/>
      <c r="B76" s="195" t="s">
        <v>357</v>
      </c>
      <c r="C76" s="4"/>
      <c r="D76" s="4"/>
      <c r="E76" s="4"/>
      <c r="F76" s="4"/>
      <c r="G76" s="4"/>
      <c r="H76" s="4"/>
      <c r="I76" s="4"/>
      <c r="J76" s="5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"/>
      <c r="B77" s="195"/>
      <c r="C77" s="4"/>
      <c r="D77" s="4"/>
      <c r="E77" s="4"/>
      <c r="F77" s="4"/>
      <c r="G77" s="4"/>
      <c r="H77" s="4"/>
      <c r="I77" s="4"/>
      <c r="J77" s="5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"/>
      <c r="B78" s="196" t="s">
        <v>358</v>
      </c>
      <c r="C78" s="4"/>
      <c r="D78" s="4"/>
      <c r="E78" s="4"/>
      <c r="F78" s="4"/>
      <c r="G78" s="4"/>
      <c r="H78" s="4"/>
      <c r="I78" s="4"/>
      <c r="J78" s="5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"/>
      <c r="B79" s="195"/>
      <c r="C79" s="4"/>
      <c r="D79" s="4"/>
      <c r="E79" s="4"/>
      <c r="F79" s="4"/>
      <c r="G79" s="4"/>
      <c r="H79" s="4"/>
      <c r="I79" s="4"/>
      <c r="J79" s="5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1"/>
      <c r="B80" s="235" t="s">
        <v>359</v>
      </c>
      <c r="C80" s="4"/>
      <c r="D80" s="4"/>
      <c r="E80" s="4"/>
      <c r="F80" s="4"/>
      <c r="G80" s="4"/>
      <c r="H80" s="4"/>
      <c r="I80" s="4"/>
      <c r="J80" s="5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"/>
      <c r="B81" s="6" t="s">
        <v>360</v>
      </c>
      <c r="C81" s="4"/>
      <c r="D81" s="4"/>
      <c r="E81" s="4"/>
      <c r="F81" s="4"/>
      <c r="G81" s="4"/>
      <c r="H81" s="4"/>
      <c r="I81" s="4"/>
      <c r="J81" s="5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1"/>
      <c r="B82" s="6" t="s">
        <v>361</v>
      </c>
      <c r="C82" s="4"/>
      <c r="D82" s="4"/>
      <c r="E82" s="4"/>
      <c r="F82" s="4"/>
      <c r="G82" s="4"/>
      <c r="H82" s="4"/>
      <c r="I82" s="4"/>
      <c r="J82" s="5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1"/>
      <c r="B83" s="6" t="s">
        <v>362</v>
      </c>
      <c r="C83" s="4"/>
      <c r="D83" s="4"/>
      <c r="E83" s="4"/>
      <c r="F83" s="4"/>
      <c r="G83" s="4"/>
      <c r="H83" s="4"/>
      <c r="I83" s="4"/>
      <c r="J83" s="5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1"/>
      <c r="B84" s="6" t="s">
        <v>363</v>
      </c>
      <c r="C84" s="4"/>
      <c r="D84" s="4"/>
      <c r="E84" s="4"/>
      <c r="F84" s="4"/>
      <c r="G84" s="4"/>
      <c r="H84" s="4"/>
      <c r="I84" s="4"/>
      <c r="J84" s="5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1"/>
      <c r="B85" s="6" t="s">
        <v>364</v>
      </c>
      <c r="C85" s="4"/>
      <c r="D85" s="4"/>
      <c r="E85" s="4"/>
      <c r="F85" s="4"/>
      <c r="G85" s="4"/>
      <c r="H85" s="4"/>
      <c r="I85" s="4"/>
      <c r="J85" s="5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1"/>
      <c r="B86" s="6" t="s">
        <v>365</v>
      </c>
      <c r="C86" s="4"/>
      <c r="D86" s="4"/>
      <c r="E86" s="4"/>
      <c r="F86" s="4"/>
      <c r="G86" s="4"/>
      <c r="H86" s="4"/>
      <c r="I86" s="4"/>
      <c r="J86" s="5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75" customHeight="1">
      <c r="A88" s="1"/>
      <c r="B88" s="236" t="s">
        <v>366</v>
      </c>
      <c r="C88" s="237"/>
      <c r="D88" s="237"/>
      <c r="E88" s="237"/>
      <c r="F88" s="237"/>
      <c r="G88" s="237"/>
      <c r="H88" s="237"/>
      <c r="I88" s="237"/>
      <c r="J88" s="238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1"/>
      <c r="B89" s="168" t="s">
        <v>367</v>
      </c>
      <c r="C89" s="170" t="s">
        <v>368</v>
      </c>
      <c r="D89" s="170" t="s">
        <v>316</v>
      </c>
      <c r="E89" s="169" t="s">
        <v>369</v>
      </c>
      <c r="F89" s="169" t="s">
        <v>229</v>
      </c>
      <c r="G89" s="169" t="s">
        <v>370</v>
      </c>
      <c r="H89" s="169" t="s">
        <v>371</v>
      </c>
      <c r="I89" s="169" t="s">
        <v>372</v>
      </c>
      <c r="J89" s="169" t="s">
        <v>373</v>
      </c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1"/>
      <c r="B90" s="203" t="s">
        <v>374</v>
      </c>
      <c r="C90" s="239" t="s">
        <v>375</v>
      </c>
      <c r="D90" s="239" t="s">
        <v>376</v>
      </c>
      <c r="E90" s="240"/>
      <c r="F90" s="241"/>
      <c r="G90" s="242"/>
      <c r="H90" s="223">
        <f t="shared" ref="H90:H97" si="19">IFERROR(F90*G90,0)</f>
        <v>0</v>
      </c>
      <c r="I90" s="243" t="str">
        <f>IFERROR(__xludf.DUMMYFUNCTION("IFERROR(googlefinance(C90),"""")"),"")</f>
        <v/>
      </c>
      <c r="J90" s="243">
        <f t="shared" ref="J90:J97" si="20">IFERROR((F90*I90)-H90,0)</f>
        <v>0</v>
      </c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1"/>
      <c r="B91" s="62"/>
      <c r="C91" s="244"/>
      <c r="D91" s="64"/>
      <c r="E91" s="240"/>
      <c r="F91" s="241"/>
      <c r="G91" s="242"/>
      <c r="H91" s="223">
        <f t="shared" si="19"/>
        <v>0</v>
      </c>
      <c r="I91" s="243" t="str">
        <f>IFERROR(__xludf.DUMMYFUNCTION("IFERROR(googlefinance(C91),"""")"),"")</f>
        <v/>
      </c>
      <c r="J91" s="243">
        <f t="shared" si="20"/>
        <v>0</v>
      </c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1"/>
      <c r="B92" s="62"/>
      <c r="C92" s="244"/>
      <c r="D92" s="64"/>
      <c r="E92" s="240"/>
      <c r="F92" s="241"/>
      <c r="G92" s="242"/>
      <c r="H92" s="223">
        <f t="shared" si="19"/>
        <v>0</v>
      </c>
      <c r="I92" s="243" t="str">
        <f>IFERROR(__xludf.DUMMYFUNCTION("IFERROR(googlefinance(C92),"""")"),"")</f>
        <v/>
      </c>
      <c r="J92" s="243">
        <f t="shared" si="20"/>
        <v>0</v>
      </c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1"/>
      <c r="B93" s="62"/>
      <c r="C93" s="244"/>
      <c r="D93" s="64"/>
      <c r="E93" s="240"/>
      <c r="F93" s="241"/>
      <c r="G93" s="242"/>
      <c r="H93" s="223">
        <f t="shared" si="19"/>
        <v>0</v>
      </c>
      <c r="I93" s="243" t="str">
        <f>IFERROR(__xludf.DUMMYFUNCTION("IFERROR(googlefinance(C93),"""")"),"")</f>
        <v/>
      </c>
      <c r="J93" s="243">
        <f t="shared" si="20"/>
        <v>0</v>
      </c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1"/>
      <c r="B94" s="62"/>
      <c r="C94" s="244"/>
      <c r="D94" s="64"/>
      <c r="E94" s="240"/>
      <c r="F94" s="241"/>
      <c r="G94" s="242"/>
      <c r="H94" s="223">
        <f t="shared" si="19"/>
        <v>0</v>
      </c>
      <c r="I94" s="243" t="str">
        <f>IFERROR(__xludf.DUMMYFUNCTION("IFERROR(googlefinance(C94),"""")"),"")</f>
        <v/>
      </c>
      <c r="J94" s="243">
        <f t="shared" si="20"/>
        <v>0</v>
      </c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1"/>
      <c r="B95" s="62"/>
      <c r="C95" s="244"/>
      <c r="D95" s="64"/>
      <c r="E95" s="240"/>
      <c r="F95" s="241"/>
      <c r="G95" s="242"/>
      <c r="H95" s="223">
        <f t="shared" si="19"/>
        <v>0</v>
      </c>
      <c r="I95" s="243" t="str">
        <f>IFERROR(__xludf.DUMMYFUNCTION("IFERROR(googlefinance(C95),"""")"),"")</f>
        <v/>
      </c>
      <c r="J95" s="243">
        <f t="shared" si="20"/>
        <v>0</v>
      </c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1"/>
      <c r="B96" s="62"/>
      <c r="C96" s="244"/>
      <c r="D96" s="64"/>
      <c r="E96" s="240"/>
      <c r="F96" s="241"/>
      <c r="G96" s="242"/>
      <c r="H96" s="223">
        <f t="shared" si="19"/>
        <v>0</v>
      </c>
      <c r="I96" s="243" t="str">
        <f>IFERROR(__xludf.DUMMYFUNCTION("IFERROR(googlefinance(C96),"""")"),"")</f>
        <v/>
      </c>
      <c r="J96" s="243">
        <f t="shared" si="20"/>
        <v>0</v>
      </c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1"/>
      <c r="B97" s="62"/>
      <c r="C97" s="244"/>
      <c r="D97" s="64"/>
      <c r="E97" s="240"/>
      <c r="F97" s="241"/>
      <c r="G97" s="242"/>
      <c r="H97" s="223">
        <f t="shared" si="19"/>
        <v>0</v>
      </c>
      <c r="I97" s="243" t="str">
        <f>IFERROR(__xludf.DUMMYFUNCTION("IFERROR(googlefinance(C97),"""")"),"")</f>
        <v/>
      </c>
      <c r="J97" s="243">
        <f t="shared" si="20"/>
        <v>0</v>
      </c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1"/>
      <c r="B98" s="147" t="s">
        <v>377</v>
      </c>
      <c r="C98" s="50"/>
      <c r="D98" s="50"/>
      <c r="E98" s="50"/>
      <c r="F98" s="50"/>
      <c r="G98" s="50"/>
      <c r="H98" s="216">
        <f>SUM(H90:H97)</f>
        <v>0</v>
      </c>
      <c r="I98" s="50"/>
      <c r="J98" s="245">
        <f>SUM(J90:J97)</f>
        <v>0</v>
      </c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7">
    <mergeCell ref="B2:J2"/>
    <mergeCell ref="B3:J3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8:J18"/>
    <mergeCell ref="B33:J33"/>
    <mergeCell ref="B35:J35"/>
    <mergeCell ref="B36:J36"/>
    <mergeCell ref="B51:J51"/>
    <mergeCell ref="B52:J52"/>
    <mergeCell ref="B68:J68"/>
    <mergeCell ref="B69:J69"/>
    <mergeCell ref="B70:J70"/>
    <mergeCell ref="B73:J73"/>
    <mergeCell ref="B74:J74"/>
    <mergeCell ref="B75:J75"/>
    <mergeCell ref="B76:J76"/>
    <mergeCell ref="B77:J77"/>
    <mergeCell ref="B78:J78"/>
    <mergeCell ref="B86:J86"/>
    <mergeCell ref="B88:J88"/>
    <mergeCell ref="B79:J79"/>
    <mergeCell ref="B80:J80"/>
    <mergeCell ref="B81:J81"/>
    <mergeCell ref="B82:J82"/>
    <mergeCell ref="B83:J83"/>
    <mergeCell ref="B84:J84"/>
    <mergeCell ref="B85:J85"/>
  </mergeCells>
  <conditionalFormatting sqref="J90">
    <cfRule type="cellIs" dxfId="8" priority="1" operator="lessThan">
      <formula>0</formula>
    </cfRule>
  </conditionalFormatting>
  <conditionalFormatting sqref="J91">
    <cfRule type="cellIs" dxfId="8" priority="2" operator="lessThan">
      <formula>0</formula>
    </cfRule>
  </conditionalFormatting>
  <conditionalFormatting sqref="J92">
    <cfRule type="cellIs" dxfId="8" priority="3" operator="lessThan">
      <formula>0</formula>
    </cfRule>
  </conditionalFormatting>
  <conditionalFormatting sqref="J93">
    <cfRule type="cellIs" dxfId="8" priority="4" operator="lessThan">
      <formula>0</formula>
    </cfRule>
  </conditionalFormatting>
  <conditionalFormatting sqref="J94">
    <cfRule type="cellIs" dxfId="8" priority="5" operator="lessThan">
      <formula>0</formula>
    </cfRule>
  </conditionalFormatting>
  <conditionalFormatting sqref="J95">
    <cfRule type="cellIs" dxfId="8" priority="6" operator="lessThan">
      <formula>0</formula>
    </cfRule>
  </conditionalFormatting>
  <conditionalFormatting sqref="J96">
    <cfRule type="cellIs" dxfId="8" priority="7" operator="lessThan">
      <formula>0</formula>
    </cfRule>
  </conditionalFormatting>
  <conditionalFormatting sqref="J97">
    <cfRule type="cellIs" dxfId="8" priority="8" operator="lessThan">
      <formula>0</formula>
    </cfRule>
  </conditionalFormatting>
  <conditionalFormatting sqref="J98">
    <cfRule type="cellIs" dxfId="11" priority="9" operator="lessThan">
      <formula>0</formula>
    </cfRule>
  </conditionalFormatting>
  <printOptions/>
  <pageMargins bottom="1.0" footer="0.0" header="0.0" left="0.75" right="0.75" top="1.0"/>
  <pageSetup paperSize="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5CFF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0"/>
    <col customWidth="1" min="2" max="2" width="34.0"/>
    <col customWidth="1" min="3" max="3" width="16.0"/>
    <col customWidth="1" min="4" max="4" width="2.0"/>
    <col customWidth="1" min="5" max="5" width="42.0"/>
    <col customWidth="1" min="6" max="6" width="16.0"/>
    <col customWidth="1" min="7" max="16" width="8.71"/>
  </cols>
  <sheetData>
    <row r="1" ht="13.5" customHeight="1">
      <c r="A1" s="71"/>
      <c r="B1" s="71"/>
      <c r="C1" s="71"/>
      <c r="D1" s="71"/>
      <c r="E1" s="71"/>
      <c r="F1" s="7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71"/>
      <c r="B2" s="246" t="s">
        <v>378</v>
      </c>
      <c r="C2" s="4"/>
      <c r="D2" s="4"/>
      <c r="E2" s="5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.5" customHeight="1">
      <c r="A3" s="71"/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71"/>
      <c r="B4" s="247" t="s">
        <v>379</v>
      </c>
      <c r="C4" s="248">
        <v>0.78</v>
      </c>
      <c r="D4" s="71"/>
      <c r="E4" s="249" t="s">
        <v>380</v>
      </c>
      <c r="F4" s="7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71"/>
      <c r="B5" s="247" t="s">
        <v>381</v>
      </c>
      <c r="C5" s="248">
        <v>0.05</v>
      </c>
      <c r="D5" s="71"/>
      <c r="E5" s="249" t="s">
        <v>382</v>
      </c>
      <c r="F5" s="7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71"/>
      <c r="B6" s="247" t="s">
        <v>383</v>
      </c>
      <c r="C6" s="250">
        <v>384.31</v>
      </c>
      <c r="D6" s="71"/>
      <c r="E6" s="249" t="s">
        <v>384</v>
      </c>
      <c r="F6" s="7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71"/>
      <c r="B7" s="247" t="s">
        <v>385</v>
      </c>
      <c r="C7" s="251">
        <v>18415.0</v>
      </c>
      <c r="D7" s="71"/>
      <c r="E7" s="249" t="s">
        <v>386</v>
      </c>
      <c r="F7" s="7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71"/>
      <c r="B8" s="247" t="s">
        <v>387</v>
      </c>
      <c r="C8" s="251">
        <v>23608.0</v>
      </c>
      <c r="D8" s="71"/>
      <c r="E8" s="249" t="s">
        <v>388</v>
      </c>
      <c r="F8" s="7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71"/>
      <c r="B9" s="247" t="s">
        <v>389</v>
      </c>
      <c r="C9" s="248">
        <v>0.24</v>
      </c>
      <c r="D9" s="71"/>
      <c r="E9" s="249" t="s">
        <v>390</v>
      </c>
      <c r="F9" s="7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71"/>
      <c r="B10" s="247" t="s">
        <v>391</v>
      </c>
      <c r="C10" s="251">
        <v>85000.0</v>
      </c>
      <c r="D10" s="71"/>
      <c r="E10" s="249" t="s">
        <v>392</v>
      </c>
      <c r="F10" s="7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71"/>
      <c r="B11" s="247" t="s">
        <v>393</v>
      </c>
      <c r="C11" s="248">
        <v>0.2607</v>
      </c>
      <c r="D11" s="71"/>
      <c r="E11" s="249" t="s">
        <v>394</v>
      </c>
      <c r="F11" s="7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71"/>
      <c r="B12" s="247" t="s">
        <v>395</v>
      </c>
      <c r="C12" s="251">
        <v>6000.0</v>
      </c>
      <c r="D12" s="71"/>
      <c r="E12" s="252" t="s">
        <v>396</v>
      </c>
      <c r="F12" s="7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71"/>
      <c r="B13" s="247" t="s">
        <v>397</v>
      </c>
      <c r="C13" s="253">
        <v>0.25</v>
      </c>
      <c r="D13" s="71"/>
      <c r="E13" s="252" t="s">
        <v>398</v>
      </c>
      <c r="F13" s="7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71"/>
      <c r="B14" s="254" t="s">
        <v>399</v>
      </c>
      <c r="C14" s="55"/>
      <c r="D14" s="71"/>
      <c r="E14" s="255" t="s">
        <v>400</v>
      </c>
      <c r="F14" s="7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71"/>
      <c r="B15" s="71"/>
      <c r="C15" s="256"/>
      <c r="D15" s="71"/>
      <c r="E15" s="71"/>
      <c r="F15" s="7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71"/>
      <c r="B16" s="71"/>
      <c r="C16" s="71"/>
      <c r="D16" s="71"/>
      <c r="E16" s="71"/>
      <c r="F16" s="7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71"/>
      <c r="B17" s="71"/>
      <c r="C17" s="257" t="s">
        <v>258</v>
      </c>
      <c r="D17" s="71"/>
      <c r="E17" s="71"/>
      <c r="F17" s="258" t="s">
        <v>401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71"/>
      <c r="B18" s="247" t="s">
        <v>50</v>
      </c>
      <c r="C18" s="259">
        <v>100.0</v>
      </c>
      <c r="D18" s="71"/>
      <c r="E18" s="247" t="s">
        <v>78</v>
      </c>
      <c r="F18" s="259">
        <v>900.0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71"/>
      <c r="B19" s="247" t="s">
        <v>64</v>
      </c>
      <c r="C19" s="259">
        <v>140.0</v>
      </c>
      <c r="D19" s="71"/>
      <c r="E19" s="247" t="s">
        <v>79</v>
      </c>
      <c r="F19" s="259">
        <v>900.0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71"/>
      <c r="B20" s="247" t="s">
        <v>92</v>
      </c>
      <c r="C20" s="259">
        <v>395.0</v>
      </c>
      <c r="D20" s="71"/>
      <c r="E20" s="247" t="s">
        <v>402</v>
      </c>
      <c r="F20" s="259">
        <v>6000.0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71"/>
      <c r="B21" s="247" t="s">
        <v>55</v>
      </c>
      <c r="C21" s="259">
        <v>75.0</v>
      </c>
      <c r="D21" s="71"/>
      <c r="E21" s="247" t="s">
        <v>403</v>
      </c>
      <c r="F21" s="259">
        <v>1200.0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71"/>
      <c r="B22" s="247" t="s">
        <v>404</v>
      </c>
      <c r="C22" s="259">
        <v>0.0</v>
      </c>
      <c r="D22" s="71"/>
      <c r="E22" s="247" t="s">
        <v>405</v>
      </c>
      <c r="F22" s="259">
        <v>1200.0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71"/>
      <c r="B23" s="247" t="s">
        <v>406</v>
      </c>
      <c r="C23" s="259">
        <v>50.0</v>
      </c>
      <c r="D23" s="71"/>
      <c r="E23" s="247" t="s">
        <v>179</v>
      </c>
      <c r="F23" s="25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71"/>
      <c r="B24" s="247" t="s">
        <v>102</v>
      </c>
      <c r="C24" s="259">
        <v>20.0</v>
      </c>
      <c r="D24" s="71"/>
      <c r="E24" s="247" t="s">
        <v>80</v>
      </c>
      <c r="F24" s="259">
        <v>600.0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71"/>
      <c r="B25" s="247" t="s">
        <v>407</v>
      </c>
      <c r="C25" s="259">
        <v>30.0</v>
      </c>
      <c r="D25" s="71"/>
      <c r="E25" s="260" t="s">
        <v>81</v>
      </c>
      <c r="F25" s="25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71"/>
      <c r="B26" s="247" t="s">
        <v>408</v>
      </c>
      <c r="C26" s="259">
        <v>0.0</v>
      </c>
      <c r="D26" s="71"/>
      <c r="E26" s="260" t="s">
        <v>409</v>
      </c>
      <c r="F26" s="2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71"/>
      <c r="B27" s="247" t="s">
        <v>179</v>
      </c>
      <c r="C27" s="259">
        <v>50.0</v>
      </c>
      <c r="D27" s="71"/>
      <c r="E27" s="260" t="s">
        <v>409</v>
      </c>
      <c r="F27" s="2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71"/>
      <c r="B28" s="260" t="s">
        <v>409</v>
      </c>
      <c r="C28" s="259"/>
      <c r="D28" s="71"/>
      <c r="E28" s="260" t="s">
        <v>409</v>
      </c>
      <c r="F28" s="25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71"/>
      <c r="B29" s="260" t="s">
        <v>409</v>
      </c>
      <c r="C29" s="259"/>
      <c r="D29" s="71"/>
      <c r="E29" s="260" t="s">
        <v>409</v>
      </c>
      <c r="F29" s="25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71"/>
      <c r="B30" s="260" t="s">
        <v>409</v>
      </c>
      <c r="C30" s="259"/>
      <c r="D30" s="71"/>
      <c r="E30" s="260" t="s">
        <v>409</v>
      </c>
      <c r="F30" s="25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71"/>
      <c r="B31" s="260" t="s">
        <v>409</v>
      </c>
      <c r="C31" s="259"/>
      <c r="D31" s="71"/>
      <c r="E31" s="260" t="s">
        <v>409</v>
      </c>
      <c r="F31" s="25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71"/>
      <c r="B32" s="260" t="s">
        <v>409</v>
      </c>
      <c r="C32" s="259"/>
      <c r="D32" s="71"/>
      <c r="E32" s="260" t="s">
        <v>409</v>
      </c>
      <c r="F32" s="25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71"/>
      <c r="B33" s="261" t="s">
        <v>410</v>
      </c>
      <c r="C33" s="262"/>
      <c r="D33" s="71"/>
      <c r="E33" s="263" t="s">
        <v>411</v>
      </c>
      <c r="F33" s="7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71"/>
      <c r="B34" s="71"/>
      <c r="C34" s="71"/>
      <c r="D34" s="71"/>
      <c r="E34" s="71"/>
      <c r="F34" s="7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52"/>
      <c r="B36" s="176" t="s">
        <v>412</v>
      </c>
      <c r="C36" s="4"/>
      <c r="D36" s="4"/>
      <c r="E36" s="4"/>
      <c r="F36" s="5"/>
      <c r="G36" s="5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52"/>
      <c r="B37" s="52"/>
      <c r="C37" s="52"/>
      <c r="D37" s="52"/>
      <c r="E37" s="52"/>
      <c r="F37" s="52"/>
      <c r="G37" s="5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52"/>
      <c r="B38" s="113" t="s">
        <v>413</v>
      </c>
      <c r="C38" s="4"/>
      <c r="D38" s="4"/>
      <c r="E38" s="4"/>
      <c r="F38" s="5"/>
      <c r="G38" s="5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52"/>
      <c r="B39" s="264" t="s">
        <v>19</v>
      </c>
      <c r="C39" s="265" t="s">
        <v>414</v>
      </c>
      <c r="D39" s="4"/>
      <c r="E39" s="4"/>
      <c r="F39" s="5"/>
      <c r="G39" s="5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2"/>
      <c r="B40" s="266" t="s">
        <v>132</v>
      </c>
      <c r="C40" s="177" t="s">
        <v>415</v>
      </c>
      <c r="D40" s="4"/>
      <c r="E40" s="4"/>
      <c r="F40" s="5"/>
      <c r="G40" s="5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2"/>
      <c r="B41" s="267" t="s">
        <v>184</v>
      </c>
      <c r="C41" s="265" t="s">
        <v>416</v>
      </c>
      <c r="D41" s="4"/>
      <c r="E41" s="4"/>
      <c r="F41" s="5"/>
      <c r="G41" s="5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2"/>
      <c r="B42" s="52"/>
      <c r="C42" s="52"/>
      <c r="D42" s="52"/>
      <c r="E42" s="52"/>
      <c r="F42" s="52"/>
      <c r="G42" s="5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2"/>
      <c r="B43" s="113" t="s">
        <v>417</v>
      </c>
      <c r="C43" s="4"/>
      <c r="D43" s="4"/>
      <c r="E43" s="4"/>
      <c r="F43" s="5"/>
      <c r="G43" s="5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2"/>
      <c r="B44" s="268" t="s">
        <v>418</v>
      </c>
      <c r="C44" s="265" t="s">
        <v>419</v>
      </c>
      <c r="D44" s="4"/>
      <c r="E44" s="4"/>
      <c r="F44" s="5"/>
      <c r="G44" s="5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2"/>
      <c r="B45" s="266" t="s">
        <v>420</v>
      </c>
      <c r="C45" s="177" t="s">
        <v>421</v>
      </c>
      <c r="D45" s="4"/>
      <c r="E45" s="4"/>
      <c r="F45" s="5"/>
      <c r="G45" s="5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2"/>
      <c r="B46" s="52"/>
      <c r="C46" s="52"/>
      <c r="D46" s="52"/>
      <c r="E46" s="52"/>
      <c r="F46" s="52"/>
      <c r="G46" s="5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2"/>
      <c r="B47" s="113" t="s">
        <v>422</v>
      </c>
      <c r="C47" s="4"/>
      <c r="D47" s="4"/>
      <c r="E47" s="4"/>
      <c r="F47" s="5"/>
      <c r="G47" s="5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2"/>
      <c r="B48" s="268" t="s">
        <v>423</v>
      </c>
      <c r="C48" s="265" t="s">
        <v>424</v>
      </c>
      <c r="D48" s="4"/>
      <c r="E48" s="4"/>
      <c r="F48" s="5"/>
      <c r="G48" s="5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2"/>
      <c r="B49" s="266" t="s">
        <v>425</v>
      </c>
      <c r="C49" s="177" t="s">
        <v>426</v>
      </c>
      <c r="D49" s="4"/>
      <c r="E49" s="4"/>
      <c r="F49" s="5"/>
      <c r="G49" s="5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2"/>
      <c r="B50" s="268" t="s">
        <v>427</v>
      </c>
      <c r="C50" s="265" t="s">
        <v>428</v>
      </c>
      <c r="D50" s="4"/>
      <c r="E50" s="4"/>
      <c r="F50" s="5"/>
      <c r="G50" s="5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2"/>
      <c r="B51" s="266" t="s">
        <v>429</v>
      </c>
      <c r="C51" s="177" t="s">
        <v>430</v>
      </c>
      <c r="D51" s="4"/>
      <c r="E51" s="4"/>
      <c r="F51" s="5"/>
      <c r="G51" s="5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2"/>
      <c r="B52" s="267" t="s">
        <v>431</v>
      </c>
      <c r="C52" s="265" t="s">
        <v>432</v>
      </c>
      <c r="D52" s="4"/>
      <c r="E52" s="4"/>
      <c r="F52" s="5"/>
      <c r="G52" s="5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2"/>
      <c r="B53" s="52"/>
      <c r="C53" s="52"/>
      <c r="D53" s="52"/>
      <c r="E53" s="52"/>
      <c r="F53" s="52"/>
      <c r="G53" s="5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2"/>
      <c r="B54" s="113" t="s">
        <v>433</v>
      </c>
      <c r="C54" s="4"/>
      <c r="D54" s="4"/>
      <c r="E54" s="4"/>
      <c r="F54" s="5"/>
      <c r="G54" s="5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2"/>
      <c r="B55" s="264" t="s">
        <v>73</v>
      </c>
      <c r="C55" s="265" t="s">
        <v>434</v>
      </c>
      <c r="D55" s="4"/>
      <c r="E55" s="4"/>
      <c r="F55" s="5"/>
      <c r="G55" s="5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2"/>
      <c r="B56" s="266" t="s">
        <v>182</v>
      </c>
      <c r="C56" s="177" t="s">
        <v>435</v>
      </c>
      <c r="D56" s="4"/>
      <c r="E56" s="4"/>
      <c r="F56" s="5"/>
      <c r="G56" s="5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2"/>
      <c r="B57" s="52"/>
      <c r="C57" s="52"/>
      <c r="D57" s="52"/>
      <c r="E57" s="52"/>
      <c r="F57" s="52"/>
      <c r="G57" s="5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2"/>
      <c r="B58" s="113" t="s">
        <v>436</v>
      </c>
      <c r="C58" s="4"/>
      <c r="D58" s="4"/>
      <c r="E58" s="4"/>
      <c r="F58" s="5"/>
      <c r="G58" s="5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2"/>
      <c r="B59" s="268" t="s">
        <v>437</v>
      </c>
      <c r="C59" s="265" t="s">
        <v>438</v>
      </c>
      <c r="D59" s="4"/>
      <c r="E59" s="4"/>
      <c r="F59" s="5"/>
      <c r="G59" s="5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2"/>
      <c r="B60" s="266" t="s">
        <v>439</v>
      </c>
      <c r="C60" s="177" t="s">
        <v>440</v>
      </c>
      <c r="D60" s="4"/>
      <c r="E60" s="4"/>
      <c r="F60" s="5"/>
      <c r="G60" s="5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2"/>
      <c r="B61" s="268" t="s">
        <v>441</v>
      </c>
      <c r="C61" s="265" t="s">
        <v>442</v>
      </c>
      <c r="D61" s="4"/>
      <c r="E61" s="4"/>
      <c r="F61" s="5"/>
      <c r="G61" s="5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2"/>
      <c r="B62" s="266" t="s">
        <v>443</v>
      </c>
      <c r="C62" s="177" t="s">
        <v>444</v>
      </c>
      <c r="D62" s="4"/>
      <c r="E62" s="4"/>
      <c r="F62" s="5"/>
      <c r="G62" s="5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2"/>
      <c r="B63" s="264" t="s">
        <v>445</v>
      </c>
      <c r="C63" s="265" t="s">
        <v>446</v>
      </c>
      <c r="D63" s="4"/>
      <c r="E63" s="4"/>
      <c r="F63" s="5"/>
      <c r="G63" s="5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2"/>
      <c r="B64" s="266" t="s">
        <v>447</v>
      </c>
      <c r="C64" s="177" t="s">
        <v>448</v>
      </c>
      <c r="D64" s="4"/>
      <c r="E64" s="4"/>
      <c r="F64" s="5"/>
      <c r="G64" s="5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2"/>
      <c r="B65" s="52"/>
      <c r="C65" s="52"/>
      <c r="D65" s="52"/>
      <c r="E65" s="52"/>
      <c r="F65" s="52"/>
      <c r="G65" s="5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2"/>
      <c r="B66" s="113" t="s">
        <v>449</v>
      </c>
      <c r="C66" s="4"/>
      <c r="D66" s="4"/>
      <c r="E66" s="4"/>
      <c r="F66" s="5"/>
      <c r="G66" s="5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2"/>
      <c r="B67" s="268" t="s">
        <v>450</v>
      </c>
      <c r="C67" s="265" t="s">
        <v>451</v>
      </c>
      <c r="D67" s="4"/>
      <c r="E67" s="4"/>
      <c r="F67" s="5"/>
      <c r="G67" s="5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2"/>
      <c r="B68" s="266" t="s">
        <v>452</v>
      </c>
      <c r="C68" s="177" t="s">
        <v>453</v>
      </c>
      <c r="D68" s="4"/>
      <c r="E68" s="4"/>
      <c r="F68" s="5"/>
      <c r="G68" s="5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2"/>
      <c r="B69" s="52"/>
      <c r="C69" s="52"/>
      <c r="D69" s="52"/>
      <c r="E69" s="52"/>
      <c r="F69" s="52"/>
      <c r="G69" s="5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2"/>
      <c r="B70" s="52"/>
      <c r="C70" s="52"/>
      <c r="D70" s="52"/>
      <c r="E70" s="52"/>
      <c r="F70" s="52"/>
      <c r="G70" s="5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75" customHeight="1">
      <c r="A71" s="52"/>
      <c r="B71" s="176" t="s">
        <v>454</v>
      </c>
      <c r="C71" s="4"/>
      <c r="D71" s="4"/>
      <c r="E71" s="4"/>
      <c r="F71" s="5"/>
      <c r="G71" s="5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2"/>
      <c r="B72" s="52"/>
      <c r="C72" s="52"/>
      <c r="D72" s="52"/>
      <c r="E72" s="52"/>
      <c r="F72" s="52"/>
      <c r="G72" s="5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2"/>
      <c r="B73" s="36" t="s">
        <v>200</v>
      </c>
      <c r="C73" s="182" t="s">
        <v>45</v>
      </c>
      <c r="D73" s="5"/>
      <c r="E73" s="182" t="s">
        <v>455</v>
      </c>
      <c r="F73" s="5"/>
      <c r="G73" s="5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3"/>
      <c r="B74" s="107" t="s">
        <v>456</v>
      </c>
      <c r="C74" s="4"/>
      <c r="D74" s="4"/>
      <c r="E74" s="4"/>
      <c r="F74" s="5"/>
      <c r="G74" s="43"/>
      <c r="H74" s="43"/>
      <c r="I74" s="43"/>
      <c r="J74" s="43"/>
      <c r="K74" s="4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3"/>
      <c r="B75" s="41" t="s">
        <v>15</v>
      </c>
      <c r="C75" s="269" t="s">
        <v>457</v>
      </c>
      <c r="D75" s="5"/>
      <c r="E75" s="270" t="s">
        <v>458</v>
      </c>
      <c r="F75" s="5"/>
      <c r="G75" s="43"/>
      <c r="H75" s="43"/>
      <c r="I75" s="43"/>
      <c r="J75" s="43"/>
      <c r="K75" s="4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3"/>
      <c r="B76" s="121" t="s">
        <v>20</v>
      </c>
      <c r="C76" s="271" t="s">
        <v>459</v>
      </c>
      <c r="D76" s="5"/>
      <c r="E76" s="272" t="s">
        <v>460</v>
      </c>
      <c r="F76" s="5"/>
      <c r="G76" s="43"/>
      <c r="H76" s="43"/>
      <c r="I76" s="43"/>
      <c r="J76" s="43"/>
      <c r="K76" s="4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3"/>
      <c r="B77" s="41" t="s">
        <v>30</v>
      </c>
      <c r="C77" s="269" t="s">
        <v>461</v>
      </c>
      <c r="D77" s="5"/>
      <c r="E77" s="270" t="s">
        <v>462</v>
      </c>
      <c r="F77" s="5"/>
      <c r="G77" s="43"/>
      <c r="H77" s="43"/>
      <c r="I77" s="43"/>
      <c r="J77" s="43"/>
      <c r="K77" s="4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3"/>
      <c r="B78" s="121" t="s">
        <v>26</v>
      </c>
      <c r="C78" s="271" t="s">
        <v>463</v>
      </c>
      <c r="D78" s="5"/>
      <c r="E78" s="272" t="s">
        <v>464</v>
      </c>
      <c r="F78" s="5"/>
      <c r="G78" s="43"/>
      <c r="H78" s="43"/>
      <c r="I78" s="43"/>
      <c r="J78" s="43"/>
      <c r="K78" s="4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3"/>
      <c r="B79" s="41" t="s">
        <v>28</v>
      </c>
      <c r="C79" s="269" t="s">
        <v>465</v>
      </c>
      <c r="D79" s="5"/>
      <c r="E79" s="270" t="s">
        <v>466</v>
      </c>
      <c r="F79" s="5"/>
      <c r="G79" s="43"/>
      <c r="H79" s="43"/>
      <c r="I79" s="43"/>
      <c r="J79" s="43"/>
      <c r="K79" s="4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3"/>
      <c r="B80" s="113" t="s">
        <v>32</v>
      </c>
      <c r="C80" s="4"/>
      <c r="D80" s="4"/>
      <c r="E80" s="4"/>
      <c r="F80" s="5"/>
      <c r="G80" s="43"/>
      <c r="H80" s="43"/>
      <c r="I80" s="43"/>
      <c r="J80" s="43"/>
      <c r="K80" s="4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3"/>
      <c r="B81" s="41" t="s">
        <v>34</v>
      </c>
      <c r="C81" s="269" t="s">
        <v>467</v>
      </c>
      <c r="D81" s="5"/>
      <c r="E81" s="270" t="s">
        <v>468</v>
      </c>
      <c r="F81" s="5"/>
      <c r="G81" s="43"/>
      <c r="H81" s="43"/>
      <c r="I81" s="43"/>
      <c r="J81" s="43"/>
      <c r="K81" s="4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3"/>
      <c r="B82" s="121" t="s">
        <v>214</v>
      </c>
      <c r="C82" s="271" t="s">
        <v>469</v>
      </c>
      <c r="D82" s="5"/>
      <c r="E82" s="272" t="s">
        <v>470</v>
      </c>
      <c r="F82" s="5"/>
      <c r="G82" s="43"/>
      <c r="H82" s="43"/>
      <c r="I82" s="43"/>
      <c r="J82" s="43"/>
      <c r="K82" s="4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3"/>
      <c r="B83" s="41" t="s">
        <v>36</v>
      </c>
      <c r="C83" s="269" t="s">
        <v>471</v>
      </c>
      <c r="D83" s="5"/>
      <c r="E83" s="270" t="s">
        <v>472</v>
      </c>
      <c r="F83" s="5"/>
      <c r="G83" s="43"/>
      <c r="H83" s="43"/>
      <c r="I83" s="43"/>
      <c r="J83" s="43"/>
      <c r="K83" s="4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3"/>
      <c r="B84" s="121" t="s">
        <v>473</v>
      </c>
      <c r="C84" s="271" t="s">
        <v>474</v>
      </c>
      <c r="D84" s="5"/>
      <c r="E84" s="272" t="s">
        <v>475</v>
      </c>
      <c r="F84" s="5"/>
      <c r="G84" s="43"/>
      <c r="H84" s="43"/>
      <c r="I84" s="43"/>
      <c r="J84" s="43"/>
      <c r="K84" s="4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3"/>
      <c r="B85" s="116" t="s">
        <v>476</v>
      </c>
      <c r="C85" s="4"/>
      <c r="D85" s="4"/>
      <c r="E85" s="4"/>
      <c r="F85" s="5"/>
      <c r="G85" s="43"/>
      <c r="H85" s="43"/>
      <c r="I85" s="43"/>
      <c r="J85" s="43"/>
      <c r="K85" s="4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3"/>
      <c r="B86" s="121" t="s">
        <v>215</v>
      </c>
      <c r="C86" s="271" t="s">
        <v>477</v>
      </c>
      <c r="D86" s="5"/>
      <c r="E86" s="272" t="s">
        <v>478</v>
      </c>
      <c r="F86" s="5"/>
      <c r="G86" s="43"/>
      <c r="H86" s="43"/>
      <c r="I86" s="43"/>
      <c r="J86" s="43"/>
      <c r="K86" s="4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3"/>
      <c r="B87" s="41" t="s">
        <v>216</v>
      </c>
      <c r="C87" s="269" t="s">
        <v>479</v>
      </c>
      <c r="D87" s="5"/>
      <c r="E87" s="270" t="s">
        <v>480</v>
      </c>
      <c r="F87" s="5"/>
      <c r="G87" s="43"/>
      <c r="H87" s="43"/>
      <c r="I87" s="43"/>
      <c r="J87" s="43"/>
      <c r="K87" s="4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3"/>
      <c r="B88" s="121" t="s">
        <v>40</v>
      </c>
      <c r="C88" s="271" t="s">
        <v>481</v>
      </c>
      <c r="D88" s="5"/>
      <c r="E88" s="272" t="s">
        <v>482</v>
      </c>
      <c r="F88" s="5"/>
      <c r="G88" s="43"/>
      <c r="H88" s="43"/>
      <c r="I88" s="43"/>
      <c r="J88" s="43"/>
      <c r="K88" s="4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3"/>
      <c r="B89" s="41" t="s">
        <v>483</v>
      </c>
      <c r="C89" s="269" t="s">
        <v>484</v>
      </c>
      <c r="D89" s="5"/>
      <c r="E89" s="270" t="s">
        <v>485</v>
      </c>
      <c r="F89" s="5"/>
      <c r="G89" s="43"/>
      <c r="H89" s="43"/>
      <c r="I89" s="43"/>
      <c r="J89" s="43"/>
      <c r="K89" s="4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3"/>
      <c r="B90" s="116" t="s">
        <v>486</v>
      </c>
      <c r="C90" s="4"/>
      <c r="D90" s="4"/>
      <c r="E90" s="4"/>
      <c r="F90" s="5"/>
      <c r="G90" s="43"/>
      <c r="H90" s="43"/>
      <c r="I90" s="43"/>
      <c r="J90" s="43"/>
      <c r="K90" s="4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3"/>
      <c r="B91" s="41" t="s">
        <v>38</v>
      </c>
      <c r="C91" s="269" t="s">
        <v>487</v>
      </c>
      <c r="D91" s="5"/>
      <c r="E91" s="270" t="s">
        <v>488</v>
      </c>
      <c r="F91" s="5"/>
      <c r="G91" s="43"/>
      <c r="H91" s="43"/>
      <c r="I91" s="43"/>
      <c r="J91" s="43"/>
      <c r="K91" s="4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3"/>
      <c r="B92" s="121" t="s">
        <v>218</v>
      </c>
      <c r="C92" s="271" t="s">
        <v>489</v>
      </c>
      <c r="D92" s="5"/>
      <c r="E92" s="272" t="s">
        <v>490</v>
      </c>
      <c r="F92" s="5"/>
      <c r="G92" s="43"/>
      <c r="H92" s="43"/>
      <c r="I92" s="43"/>
      <c r="J92" s="43"/>
      <c r="K92" s="4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3"/>
      <c r="B93" s="41" t="s">
        <v>491</v>
      </c>
      <c r="C93" s="269" t="s">
        <v>492</v>
      </c>
      <c r="D93" s="5"/>
      <c r="E93" s="270" t="s">
        <v>493</v>
      </c>
      <c r="F93" s="5"/>
      <c r="G93" s="43"/>
      <c r="H93" s="43"/>
      <c r="I93" s="43"/>
      <c r="J93" s="43"/>
      <c r="K93" s="4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3"/>
      <c r="B94" s="121" t="s">
        <v>221</v>
      </c>
      <c r="C94" s="271" t="s">
        <v>494</v>
      </c>
      <c r="D94" s="5"/>
      <c r="E94" s="272" t="s">
        <v>495</v>
      </c>
      <c r="F94" s="5"/>
      <c r="G94" s="43"/>
      <c r="H94" s="43"/>
      <c r="I94" s="43"/>
      <c r="J94" s="43"/>
      <c r="K94" s="4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3"/>
      <c r="B95" s="41" t="s">
        <v>223</v>
      </c>
      <c r="C95" s="269" t="s">
        <v>496</v>
      </c>
      <c r="D95" s="5"/>
      <c r="E95" s="270" t="s">
        <v>497</v>
      </c>
      <c r="F95" s="5"/>
      <c r="G95" s="43"/>
      <c r="H95" s="43"/>
      <c r="I95" s="43"/>
      <c r="J95" s="43"/>
      <c r="K95" s="4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75" customHeight="1">
      <c r="A96" s="43"/>
      <c r="B96" s="110" t="s">
        <v>498</v>
      </c>
      <c r="C96" s="4"/>
      <c r="D96" s="4"/>
      <c r="E96" s="4"/>
      <c r="F96" s="5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3"/>
      <c r="B97" s="41" t="s">
        <v>499</v>
      </c>
      <c r="C97" s="269" t="s">
        <v>500</v>
      </c>
      <c r="D97" s="5"/>
      <c r="E97" s="270" t="s">
        <v>501</v>
      </c>
      <c r="F97" s="5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3"/>
      <c r="B98" s="121" t="s">
        <v>502</v>
      </c>
      <c r="C98" s="271" t="s">
        <v>503</v>
      </c>
      <c r="D98" s="5"/>
      <c r="E98" s="272" t="s">
        <v>504</v>
      </c>
      <c r="F98" s="5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3"/>
      <c r="B99" s="41" t="s">
        <v>505</v>
      </c>
      <c r="C99" s="269" t="s">
        <v>506</v>
      </c>
      <c r="D99" s="5"/>
      <c r="E99" s="270" t="s">
        <v>507</v>
      </c>
      <c r="F99" s="5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3"/>
      <c r="B100" s="116" t="s">
        <v>508</v>
      </c>
      <c r="C100" s="4"/>
      <c r="D100" s="4"/>
      <c r="E100" s="4"/>
      <c r="F100" s="5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3"/>
      <c r="B101" s="41" t="s">
        <v>509</v>
      </c>
      <c r="C101" s="269" t="s">
        <v>510</v>
      </c>
      <c r="D101" s="5"/>
      <c r="E101" s="270" t="s">
        <v>511</v>
      </c>
      <c r="F101" s="5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3"/>
      <c r="B102" s="121" t="s">
        <v>512</v>
      </c>
      <c r="C102" s="271" t="s">
        <v>513</v>
      </c>
      <c r="D102" s="5"/>
      <c r="E102" s="272" t="s">
        <v>514</v>
      </c>
      <c r="F102" s="5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3"/>
      <c r="B103" s="41" t="s">
        <v>515</v>
      </c>
      <c r="C103" s="269" t="s">
        <v>300</v>
      </c>
      <c r="D103" s="5"/>
      <c r="E103" s="270" t="s">
        <v>516</v>
      </c>
      <c r="F103" s="5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3"/>
      <c r="B104" s="113" t="s">
        <v>517</v>
      </c>
      <c r="C104" s="4"/>
      <c r="D104" s="4"/>
      <c r="E104" s="4"/>
      <c r="F104" s="5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3"/>
      <c r="B105" s="41" t="s">
        <v>518</v>
      </c>
      <c r="C105" s="269" t="s">
        <v>519</v>
      </c>
      <c r="D105" s="5"/>
      <c r="E105" s="270" t="s">
        <v>520</v>
      </c>
      <c r="F105" s="5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3"/>
      <c r="B106" s="121" t="s">
        <v>521</v>
      </c>
      <c r="C106" s="271" t="s">
        <v>522</v>
      </c>
      <c r="D106" s="5"/>
      <c r="E106" s="272" t="s">
        <v>523</v>
      </c>
      <c r="F106" s="5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110" t="s">
        <v>524</v>
      </c>
      <c r="C107" s="4"/>
      <c r="D107" s="4"/>
      <c r="E107" s="4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121" t="s">
        <v>525</v>
      </c>
      <c r="C108" s="271" t="s">
        <v>526</v>
      </c>
      <c r="D108" s="5"/>
      <c r="E108" s="272" t="s">
        <v>527</v>
      </c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41" t="s">
        <v>528</v>
      </c>
      <c r="C109" s="269" t="s">
        <v>529</v>
      </c>
      <c r="D109" s="5"/>
      <c r="E109" s="270" t="s">
        <v>530</v>
      </c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75" customHeight="1">
      <c r="A112" s="43"/>
      <c r="B112" s="176" t="s">
        <v>531</v>
      </c>
      <c r="C112" s="4"/>
      <c r="D112" s="4"/>
      <c r="E112" s="4"/>
      <c r="F112" s="5"/>
      <c r="G112" s="43"/>
      <c r="H112" s="43"/>
      <c r="I112" s="43"/>
      <c r="J112" s="43"/>
      <c r="K112" s="4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3"/>
      <c r="B114" s="36" t="s">
        <v>47</v>
      </c>
      <c r="C114" s="182" t="s">
        <v>45</v>
      </c>
      <c r="D114" s="5"/>
      <c r="E114" s="36" t="s">
        <v>532</v>
      </c>
      <c r="F114" s="36" t="s">
        <v>49</v>
      </c>
      <c r="G114" s="43"/>
      <c r="H114" s="43"/>
      <c r="I114" s="43"/>
      <c r="J114" s="43"/>
      <c r="K114" s="4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3"/>
      <c r="B115" s="121" t="s">
        <v>533</v>
      </c>
      <c r="C115" s="273" t="s">
        <v>534</v>
      </c>
      <c r="D115" s="5"/>
      <c r="E115" s="274" t="s">
        <v>535</v>
      </c>
      <c r="F115" s="275" t="s">
        <v>536</v>
      </c>
      <c r="G115" s="43"/>
      <c r="H115" s="43"/>
      <c r="I115" s="43"/>
      <c r="J115" s="43"/>
      <c r="K115" s="4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3"/>
      <c r="B116" s="41" t="s">
        <v>537</v>
      </c>
      <c r="C116" s="276" t="s">
        <v>538</v>
      </c>
      <c r="D116" s="5"/>
      <c r="E116" s="22" t="s">
        <v>539</v>
      </c>
      <c r="F116" s="277" t="s">
        <v>540</v>
      </c>
      <c r="G116" s="43"/>
      <c r="H116" s="43"/>
      <c r="I116" s="43"/>
      <c r="J116" s="43"/>
      <c r="K116" s="4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3"/>
      <c r="B117" s="121" t="s">
        <v>541</v>
      </c>
      <c r="C117" s="273" t="s">
        <v>542</v>
      </c>
      <c r="D117" s="5"/>
      <c r="E117" s="274" t="s">
        <v>535</v>
      </c>
      <c r="F117" s="275" t="s">
        <v>536</v>
      </c>
      <c r="G117" s="43"/>
      <c r="H117" s="43"/>
      <c r="I117" s="43"/>
      <c r="J117" s="43"/>
      <c r="K117" s="4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3"/>
      <c r="B118" s="41" t="s">
        <v>543</v>
      </c>
      <c r="C118" s="276" t="s">
        <v>544</v>
      </c>
      <c r="D118" s="5"/>
      <c r="E118" s="22" t="s">
        <v>535</v>
      </c>
      <c r="F118" s="277" t="s">
        <v>536</v>
      </c>
      <c r="G118" s="43"/>
      <c r="H118" s="43"/>
      <c r="I118" s="43"/>
      <c r="J118" s="43"/>
      <c r="K118" s="4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3"/>
      <c r="B119" s="121" t="s">
        <v>545</v>
      </c>
      <c r="C119" s="273" t="s">
        <v>546</v>
      </c>
      <c r="D119" s="5"/>
      <c r="E119" s="274" t="s">
        <v>539</v>
      </c>
      <c r="F119" s="275" t="s">
        <v>547</v>
      </c>
      <c r="G119" s="43"/>
      <c r="H119" s="43"/>
      <c r="I119" s="43"/>
      <c r="J119" s="43"/>
      <c r="K119" s="4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3"/>
      <c r="B120" s="41" t="s">
        <v>548</v>
      </c>
      <c r="C120" s="276" t="s">
        <v>549</v>
      </c>
      <c r="D120" s="5"/>
      <c r="E120" s="22" t="s">
        <v>535</v>
      </c>
      <c r="F120" s="277" t="s">
        <v>536</v>
      </c>
      <c r="G120" s="43"/>
      <c r="H120" s="43"/>
      <c r="I120" s="43"/>
      <c r="J120" s="43"/>
      <c r="K120" s="4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121" t="s">
        <v>550</v>
      </c>
      <c r="C121" s="273" t="s">
        <v>551</v>
      </c>
      <c r="D121" s="5"/>
      <c r="E121" s="274" t="s">
        <v>552</v>
      </c>
      <c r="F121" s="275" t="s">
        <v>553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41" t="s">
        <v>539</v>
      </c>
      <c r="C122" s="276" t="s">
        <v>554</v>
      </c>
      <c r="D122" s="5"/>
      <c r="E122" s="22" t="s">
        <v>555</v>
      </c>
      <c r="F122" s="277" t="s">
        <v>556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6">
    <mergeCell ref="E79:F79"/>
    <mergeCell ref="B80:F80"/>
    <mergeCell ref="C81:D81"/>
    <mergeCell ref="E81:F81"/>
    <mergeCell ref="C82:D82"/>
    <mergeCell ref="E82:F82"/>
    <mergeCell ref="E83:F83"/>
    <mergeCell ref="C83:D83"/>
    <mergeCell ref="C84:D84"/>
    <mergeCell ref="E84:F84"/>
    <mergeCell ref="B85:F85"/>
    <mergeCell ref="C86:D86"/>
    <mergeCell ref="E86:F86"/>
    <mergeCell ref="E87:F87"/>
    <mergeCell ref="C87:D87"/>
    <mergeCell ref="C88:D88"/>
    <mergeCell ref="E88:F88"/>
    <mergeCell ref="C89:D89"/>
    <mergeCell ref="E89:F89"/>
    <mergeCell ref="B90:F90"/>
    <mergeCell ref="E91:F91"/>
    <mergeCell ref="C91:D91"/>
    <mergeCell ref="C92:D92"/>
    <mergeCell ref="E92:F92"/>
    <mergeCell ref="C93:D93"/>
    <mergeCell ref="E93:F93"/>
    <mergeCell ref="C94:D94"/>
    <mergeCell ref="E94:F94"/>
    <mergeCell ref="C95:D95"/>
    <mergeCell ref="E95:F95"/>
    <mergeCell ref="B96:F96"/>
    <mergeCell ref="C97:D97"/>
    <mergeCell ref="E97:F97"/>
    <mergeCell ref="C98:D98"/>
    <mergeCell ref="E98:F98"/>
    <mergeCell ref="C99:D99"/>
    <mergeCell ref="E99:F99"/>
    <mergeCell ref="B100:F100"/>
    <mergeCell ref="C101:D101"/>
    <mergeCell ref="E101:F101"/>
    <mergeCell ref="C102:D102"/>
    <mergeCell ref="E102:F102"/>
    <mergeCell ref="C106:D106"/>
    <mergeCell ref="C108:D108"/>
    <mergeCell ref="C109:D109"/>
    <mergeCell ref="C103:D103"/>
    <mergeCell ref="E103:F103"/>
    <mergeCell ref="B104:F104"/>
    <mergeCell ref="C105:D105"/>
    <mergeCell ref="E105:F105"/>
    <mergeCell ref="E106:F106"/>
    <mergeCell ref="B107:F107"/>
    <mergeCell ref="B2:E2"/>
    <mergeCell ref="B14:C14"/>
    <mergeCell ref="B36:F36"/>
    <mergeCell ref="B38:F38"/>
    <mergeCell ref="C39:F39"/>
    <mergeCell ref="C40:F40"/>
    <mergeCell ref="C41:F41"/>
    <mergeCell ref="B43:F43"/>
    <mergeCell ref="C44:F44"/>
    <mergeCell ref="C45:F45"/>
    <mergeCell ref="B47:F47"/>
    <mergeCell ref="C48:F48"/>
    <mergeCell ref="C49:F49"/>
    <mergeCell ref="C50:F50"/>
    <mergeCell ref="C51:F51"/>
    <mergeCell ref="C52:F52"/>
    <mergeCell ref="B54:F54"/>
    <mergeCell ref="C55:F55"/>
    <mergeCell ref="C56:F56"/>
    <mergeCell ref="B58:F58"/>
    <mergeCell ref="C59:F59"/>
    <mergeCell ref="C60:F60"/>
    <mergeCell ref="C61:F61"/>
    <mergeCell ref="C62:F62"/>
    <mergeCell ref="C63:F63"/>
    <mergeCell ref="C64:F64"/>
    <mergeCell ref="B66:F66"/>
    <mergeCell ref="C67:F67"/>
    <mergeCell ref="C68:F68"/>
    <mergeCell ref="B71:F71"/>
    <mergeCell ref="C73:D73"/>
    <mergeCell ref="E73:F73"/>
    <mergeCell ref="B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C118:D118"/>
    <mergeCell ref="C119:D119"/>
    <mergeCell ref="C120:D120"/>
    <mergeCell ref="C121:D121"/>
    <mergeCell ref="C122:D122"/>
    <mergeCell ref="E108:F108"/>
    <mergeCell ref="E109:F109"/>
    <mergeCell ref="B112:F112"/>
    <mergeCell ref="C114:D114"/>
    <mergeCell ref="C115:D115"/>
    <mergeCell ref="C116:D116"/>
    <mergeCell ref="C117:D117"/>
  </mergeCells>
  <printOptions/>
  <pageMargins bottom="0.2" footer="0.0" header="0.0" left="0.2" right="0.2" top="0.2"/>
  <pageSetup paperSize="8" orientation="landscape"/>
  <drawing r:id="rId1"/>
</worksheet>
</file>